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mon Lab Electronic\Desktop\"/>
    </mc:Choice>
  </mc:AlternateContent>
  <xr:revisionPtr revIDLastSave="0" documentId="13_ncr:1_{A8C14084-BF22-4A23-AA38-2322394719C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CIBO" sheetId="1" r:id="rId1"/>
    <sheet name="RECICLADORES" sheetId="2" r:id="rId2"/>
    <sheet name="MATERIALES" sheetId="3" r:id="rId3"/>
    <sheet name="REGISTRO" sheetId="4" r:id="rId4"/>
    <sheet name="Hoja1" sheetId="8" r:id="rId5"/>
    <sheet name="DASHBOARD" sheetId="5" r:id="rId6"/>
    <sheet name="USO" sheetId="6" r:id="rId7"/>
    <sheet name="CODIGO_BOTONES" sheetId="7" r:id="rId8"/>
  </sheets>
  <functionGroups builtInGroupCount="19"/>
  <definedNames>
    <definedName name="_xlnm._FilterDatabase" localSheetId="3" hidden="1">REGISTRO!$A$1:$A$20</definedName>
    <definedName name="_xlnm.Print_Area" localSheetId="0">RECIBO!$A$1:$E$30</definedName>
    <definedName name="ListaMateriales">MATERIALES!$C$2:$C$515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1" l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P59" i="4"/>
  <c r="P58" i="4"/>
  <c r="P1108" i="4"/>
  <c r="Q1108" i="4"/>
  <c r="J1108" i="4"/>
  <c r="P1107" i="4"/>
  <c r="Q1107" i="4"/>
  <c r="J1107" i="4"/>
  <c r="P1106" i="4"/>
  <c r="Q1106" i="4"/>
  <c r="P64" i="4"/>
  <c r="Q64" i="4"/>
  <c r="P63" i="4"/>
  <c r="Q63" i="4"/>
  <c r="P62" i="4"/>
  <c r="Q62" i="4"/>
  <c r="P71" i="4"/>
  <c r="Q71" i="4"/>
  <c r="P70" i="4"/>
  <c r="Q70" i="4"/>
  <c r="P69" i="4"/>
  <c r="Q69" i="4"/>
  <c r="P68" i="4"/>
  <c r="Q68" i="4"/>
  <c r="P67" i="4"/>
  <c r="Q67" i="4"/>
  <c r="P66" i="4"/>
  <c r="Q66" i="4"/>
  <c r="P65" i="4"/>
  <c r="Q65" i="4"/>
  <c r="J76" i="4"/>
  <c r="P75" i="4"/>
  <c r="Q75" i="4"/>
  <c r="J74" i="4"/>
  <c r="P73" i="4"/>
  <c r="Q73" i="4"/>
  <c r="J77" i="4"/>
  <c r="P76" i="4"/>
  <c r="Q76" i="4"/>
  <c r="P72" i="4"/>
  <c r="Q72" i="4"/>
  <c r="J75" i="4"/>
  <c r="P74" i="4"/>
  <c r="Q74" i="4"/>
  <c r="P92" i="4"/>
  <c r="Q92" i="4"/>
  <c r="P91" i="4"/>
  <c r="Q91" i="4"/>
  <c r="P90" i="4"/>
  <c r="Q90" i="4"/>
  <c r="P95" i="4"/>
  <c r="Q95" i="4"/>
  <c r="P94" i="4"/>
  <c r="Q94" i="4"/>
  <c r="P97" i="4"/>
  <c r="Q97" i="4"/>
  <c r="P77" i="4"/>
  <c r="Q77" i="4"/>
  <c r="P93" i="4"/>
  <c r="Q93" i="4"/>
  <c r="P85" i="4"/>
  <c r="Q85" i="4"/>
  <c r="P100" i="4"/>
  <c r="Q100" i="4"/>
  <c r="P87" i="4"/>
  <c r="Q87" i="4"/>
  <c r="P103" i="4"/>
  <c r="Q103" i="4"/>
  <c r="P89" i="4"/>
  <c r="Q89" i="4"/>
  <c r="P84" i="4"/>
  <c r="Q84" i="4"/>
  <c r="P83" i="4"/>
  <c r="Q83" i="4"/>
  <c r="P82" i="4"/>
  <c r="Q82" i="4"/>
  <c r="P81" i="4"/>
  <c r="Q81" i="4"/>
  <c r="P80" i="4"/>
  <c r="Q80" i="4"/>
  <c r="P79" i="4"/>
  <c r="Q79" i="4"/>
  <c r="P78" i="4"/>
  <c r="Q78" i="4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P99" i="4"/>
  <c r="Q99" i="4"/>
  <c r="P101" i="4"/>
  <c r="Q101" i="4"/>
  <c r="P102" i="4"/>
  <c r="Q102" i="4"/>
  <c r="P105" i="4"/>
  <c r="Q105" i="4"/>
  <c r="P104" i="4"/>
  <c r="Q104" i="4"/>
  <c r="P86" i="4"/>
  <c r="Q86" i="4"/>
  <c r="P88" i="4"/>
  <c r="Q88" i="4"/>
  <c r="P96" i="4"/>
  <c r="Q96" i="4"/>
  <c r="P98" i="4"/>
  <c r="Q98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07" i="4"/>
  <c r="P108" i="4"/>
  <c r="P109" i="4"/>
  <c r="P110" i="4"/>
  <c r="P111" i="4"/>
  <c r="P112" i="4"/>
  <c r="P113" i="4"/>
  <c r="P114" i="4"/>
  <c r="P115" i="4"/>
  <c r="P116" i="4"/>
  <c r="Q106" i="4"/>
  <c r="P106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07" i="4"/>
  <c r="E29" i="1" l="1"/>
  <c r="D19" i="5"/>
  <c r="E19" i="5" s="1"/>
  <c r="A19" i="5"/>
  <c r="B19" i="5" s="1"/>
  <c r="D18" i="5"/>
  <c r="E18" i="5" s="1"/>
  <c r="A18" i="5"/>
  <c r="B18" i="5" s="1"/>
  <c r="D17" i="5"/>
  <c r="E17" i="5" s="1"/>
  <c r="A17" i="5"/>
  <c r="B17" i="5" s="1"/>
  <c r="D16" i="5"/>
  <c r="E16" i="5" s="1"/>
  <c r="A16" i="5"/>
  <c r="B16" i="5" s="1"/>
  <c r="D15" i="5"/>
  <c r="E15" i="5" s="1"/>
  <c r="A15" i="5"/>
  <c r="B15" i="5" s="1"/>
  <c r="D14" i="5"/>
  <c r="E14" i="5" s="1"/>
  <c r="A14" i="5"/>
  <c r="B14" i="5" s="1"/>
  <c r="D13" i="5"/>
  <c r="E13" i="5" s="1"/>
  <c r="A13" i="5"/>
  <c r="B13" i="5" s="1"/>
  <c r="D12" i="5"/>
  <c r="E12" i="5" s="1"/>
  <c r="A12" i="5"/>
  <c r="B12" i="5" s="1"/>
  <c r="D11" i="5"/>
  <c r="E11" i="5" s="1"/>
  <c r="A11" i="5"/>
  <c r="B11" i="5" s="1"/>
  <c r="D10" i="5"/>
  <c r="E10" i="5" s="1"/>
  <c r="A10" i="5"/>
  <c r="B10" i="5" s="1"/>
  <c r="B5" i="5"/>
  <c r="B4" i="5"/>
  <c r="B3" i="5"/>
  <c r="E30" i="1" l="1"/>
  <c r="E3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ChatGPT</author>
  </authors>
  <commentList>
    <comment ref="B5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Selecciona el reciclador de la lista desplegable. Los datos se completan automáticamente.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ChatGPT</author>
  </authors>
  <commentList>
    <comment ref="G4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Asignar macro: DashboardNivelDios</t>
        </r>
      </text>
    </comment>
  </commentList>
</comments>
</file>

<file path=xl/sharedStrings.xml><?xml version="1.0" encoding="utf-8"?>
<sst xmlns="http://schemas.openxmlformats.org/spreadsheetml/2006/main" count="851" uniqueCount="367">
  <si>
    <t>ARECUPERAR - RECIBO DE MATERIALES RECICLABLES</t>
  </si>
  <si>
    <t>N° RECIBO</t>
  </si>
  <si>
    <t>FECHA</t>
  </si>
  <si>
    <t>RECICLADOR</t>
  </si>
  <si>
    <t>DOCUMENTO</t>
  </si>
  <si>
    <t>TELÉFONO</t>
  </si>
  <si>
    <t>DIRECCIÓN</t>
  </si>
  <si>
    <t>MUNICIPIO</t>
  </si>
  <si>
    <t>DETALLE DE MATERIALES</t>
  </si>
  <si>
    <t>MATERIAL</t>
  </si>
  <si>
    <t>KG</t>
  </si>
  <si>
    <t>PRECIO KG</t>
  </si>
  <si>
    <t>SUBTOTAL</t>
  </si>
  <si>
    <t>TOTAL</t>
  </si>
  <si>
    <t>ID</t>
  </si>
  <si>
    <t>NOMBRE</t>
  </si>
  <si>
    <t>TELEFONO</t>
  </si>
  <si>
    <t>DIRECCION</t>
  </si>
  <si>
    <t>ACTIVO</t>
  </si>
  <si>
    <t>ALEJO PÉREZ PÉREZ</t>
  </si>
  <si>
    <t>KDX 284-991 Barrio Junín</t>
  </si>
  <si>
    <t>OCAÑA</t>
  </si>
  <si>
    <t>Si</t>
  </si>
  <si>
    <t>ALFONSO PABÓN GUERRERO</t>
  </si>
  <si>
    <t>N/T</t>
  </si>
  <si>
    <t>KDX 217-307 Brr. El Dorado</t>
  </si>
  <si>
    <t>ALIRIO ALBERTO PABÓN</t>
  </si>
  <si>
    <t>KDX 088-580 Brr. Las Colinas</t>
  </si>
  <si>
    <t>ALVARO DE JESUS PICON MANTILLA</t>
  </si>
  <si>
    <t>Barrio Simon Bolivar</t>
  </si>
  <si>
    <t>ANTONIA QUINTERO CALDERÓN</t>
  </si>
  <si>
    <t>Brr. Simón Bolívar Parte Baja</t>
  </si>
  <si>
    <t>ARNOLDO CELESTINO HERRERA SÁNCHEZ</t>
  </si>
  <si>
    <t>Brr la perla</t>
  </si>
  <si>
    <t>BERTHA YADIRA COLMENARES ARROLLO</t>
  </si>
  <si>
    <t>BRITHEY ESMERALDA GUTIERREZ VERA</t>
  </si>
  <si>
    <t>Hatillo- Transparencia 1</t>
  </si>
  <si>
    <t>CARLOS ARTURO MEJÍA ROJAS</t>
  </si>
  <si>
    <t>KDX 906-360 Brr. El Dorado</t>
  </si>
  <si>
    <t>CARLOS VICENTE MARTÍNEZ</t>
  </si>
  <si>
    <t>Cra. 10A -32 Gustavo Alayon</t>
  </si>
  <si>
    <t>CARMEN CECILIA MEZA ASCANIO</t>
  </si>
  <si>
    <t xml:space="preserve">KDX 909-120 Brr. El Dorado </t>
  </si>
  <si>
    <t>CARMEN OLINTA MELO CLARO</t>
  </si>
  <si>
    <t>KDX 114-025 Brr. El Carmen</t>
  </si>
  <si>
    <t>CARMENZA RINCON PACHECO</t>
  </si>
  <si>
    <t>KDX 265-240 Brr. Los Fundadores</t>
  </si>
  <si>
    <t>CRISTO FERNANDO AMAYA JULIO</t>
  </si>
  <si>
    <t xml:space="preserve">Brr el peñon </t>
  </si>
  <si>
    <t>DELMIRA BALAGUERA</t>
  </si>
  <si>
    <t>DENIER ELIECER CARRASCAL SÁNCHEZ</t>
  </si>
  <si>
    <t>CALL 13 # 24A-14 B. EL PEÑON</t>
  </si>
  <si>
    <t>DIANA MILEIDY PUENTE CABALLERO</t>
  </si>
  <si>
    <t>BR. LA PERLA</t>
  </si>
  <si>
    <t>EDUARDO JOSÉ BASTIDAS</t>
  </si>
  <si>
    <t>ESMERALDA VERA DÍAZ</t>
  </si>
  <si>
    <t>Brr. Juan XXIII</t>
  </si>
  <si>
    <t>EUCLIDES BAUTISTA BAYONA</t>
  </si>
  <si>
    <t>No sabe</t>
  </si>
  <si>
    <t>EUSEBIO BAYONA GUERERO</t>
  </si>
  <si>
    <t>KDX 295-390 Brr. Simón Bolívar</t>
  </si>
  <si>
    <t>FABIO DANILO PALLARES CARRASCAL</t>
  </si>
  <si>
    <t>KDX 112-350 Brr. El Carmen</t>
  </si>
  <si>
    <t>FRANCISCO ANTONIO ILLERA BARBOSA</t>
  </si>
  <si>
    <t>BR. JUAN 23</t>
  </si>
  <si>
    <t>FREDDY REYES</t>
  </si>
  <si>
    <t xml:space="preserve">KDX 278-260 Brr. Juan XXIII </t>
  </si>
  <si>
    <t>GABRIEL ANGEL PEÑA TRILLOS</t>
  </si>
  <si>
    <t>KDX 558-535 Brr. El carmen</t>
  </si>
  <si>
    <t>GERMÁN ALONSO PAÉZ TARAZONA</t>
  </si>
  <si>
    <t>KDX 311-130 Brr. Simón Bolívar</t>
  </si>
  <si>
    <t>HERMES ANTONIO QUINTERO</t>
  </si>
  <si>
    <t>KDX 558-389 Brr. El Carmen</t>
  </si>
  <si>
    <t>JAIRO ALFONSO RUEDAS</t>
  </si>
  <si>
    <t>KDX 405-300 Brr. Libardo Alonso</t>
  </si>
  <si>
    <t>JAIRO GALEANO PRADA</t>
  </si>
  <si>
    <t>Cra.28 D 9-29 Barrio el carmen</t>
  </si>
  <si>
    <t>JAVIER ANTONIO BONETH</t>
  </si>
  <si>
    <t>BR LOS COMUNEROS</t>
  </si>
  <si>
    <t>JAVIER PEÑA ALMEIDA</t>
  </si>
  <si>
    <t>VEREDA CARRIZAL</t>
  </si>
  <si>
    <t>JESÚS ALBERTO TORRES</t>
  </si>
  <si>
    <t xml:space="preserve">Barrio Cañaveral - </t>
  </si>
  <si>
    <t>JESÚS ANTONIO TORRES TORRES</t>
  </si>
  <si>
    <t>KDX 343-140 Brr. Circunvalar</t>
  </si>
  <si>
    <t>JOSE DOLORES RODRIGUEZ RODRIGUEZ</t>
  </si>
  <si>
    <t>KDX 384-220 BARRIO BELEN PARTE BAJA</t>
  </si>
  <si>
    <t>JOSÉ ALBINO PAREDES PRIETO</t>
  </si>
  <si>
    <t>NO TIENE</t>
  </si>
  <si>
    <t>Brr. La torcoroma, calle huesos</t>
  </si>
  <si>
    <t>JOSÉ DEL CARMEN PACHECO CONTRERAS</t>
  </si>
  <si>
    <t>Brr. Fundadores</t>
  </si>
  <si>
    <t>JOSÉ FABIÁN PEDROZA SEPÚLVEDA</t>
  </si>
  <si>
    <t>Brr Nueva España</t>
  </si>
  <si>
    <t>JOSÉ GREGORIO GUERRERO RODRÍGUEZ</t>
  </si>
  <si>
    <t>Cll. 8 N° 28j-64 Brr. Cañaveral</t>
  </si>
  <si>
    <t>KARIS ANDREA RODRÍGUEZ ÁLVAREZ</t>
  </si>
  <si>
    <t>CRA 16 #5B-15 BARRIO LA TORCOROMA</t>
  </si>
  <si>
    <t>KEIDERSON ANTONIO SÁNCHEZ</t>
  </si>
  <si>
    <t>Barrio La Perla- Santa Clara</t>
  </si>
  <si>
    <t>KEVIN DAVID TORRES MACHADO</t>
  </si>
  <si>
    <t>Brr. Galán Parte Alta</t>
  </si>
  <si>
    <t>LEVI ARMANDO URBINA RUÍZ</t>
  </si>
  <si>
    <t>Cll. 03 N° 16A-94 Brr. Juan XXIII</t>
  </si>
  <si>
    <t>LUIS ALBERTO PERDOMO YEPEZ</t>
  </si>
  <si>
    <t>Brr. LA PERLA</t>
  </si>
  <si>
    <t>LUIS ALBERTO RODRÍGUEZ</t>
  </si>
  <si>
    <t>KDX 091-205 Brr. Comuneros</t>
  </si>
  <si>
    <t>LUIS JOSÉ FLOREZ</t>
  </si>
  <si>
    <t>KDX 307-280 Brr. Simón Bolívar</t>
  </si>
  <si>
    <t>LUZ MARINA RODRIGUEZ</t>
  </si>
  <si>
    <t>KDX 558-398 Brr. El Carmen</t>
  </si>
  <si>
    <t>MARIA ESPERANZA PACHECO</t>
  </si>
  <si>
    <t>KDX 088-580 Brr. Colina del Tanque</t>
  </si>
  <si>
    <t>MARIA MAIDEN GOMEZ</t>
  </si>
  <si>
    <t>MARTHA YANETH GARCÍA PÉREZ</t>
  </si>
  <si>
    <t>Cll. 3 N° 14-60 Brr. La Torcoroma</t>
  </si>
  <si>
    <t>MARTINIANO AMAYA JULIO</t>
  </si>
  <si>
    <t>Brr. Cristo Rey</t>
  </si>
  <si>
    <t>MARY CARRASCAL</t>
  </si>
  <si>
    <t>KDX 911-120 Brr. Dorado Etapa II</t>
  </si>
  <si>
    <t>MARÍA YANETH ÁLVAREZ VACA</t>
  </si>
  <si>
    <t>Brr. La Torcoroma</t>
  </si>
  <si>
    <t>MAURICIO JOSÉ CASTILLO</t>
  </si>
  <si>
    <t>CALL 13-10 BARRIO TAMACO</t>
  </si>
  <si>
    <t>MIGUEL ÁNGEL BONILLA CHOGO</t>
  </si>
  <si>
    <t>Cra. 5A CALLE CENTRAL 14-33 barrio torcoroma</t>
  </si>
  <si>
    <t>NEIL CARREÑO</t>
  </si>
  <si>
    <t>KDX 221-180 San Fermín</t>
  </si>
  <si>
    <t>NICOL ANGELIN SUAREZ MOGOLLON</t>
  </si>
  <si>
    <t>NOEL GAONA JAIMES</t>
  </si>
  <si>
    <t>BR BOSQUSISITO PARTE BAJA</t>
  </si>
  <si>
    <t>OMAYDA RODRÍGUEZ ORTÍZ</t>
  </si>
  <si>
    <t>Vda. Aguas Claras</t>
  </si>
  <si>
    <t>Urb. Villa Karina Mz 12- Lt. 10 Hatillo</t>
  </si>
  <si>
    <t>ORLANDO SEPULVEDA SUÁREZ</t>
  </si>
  <si>
    <t>KDX 366-440 Brr. Nueva España</t>
  </si>
  <si>
    <t>PEDRO RODRIGUEZ RODRIGUEZ</t>
  </si>
  <si>
    <t>Barrio Belen</t>
  </si>
  <si>
    <t>RAMÓN ANTONIO GUERRERO PLATA</t>
  </si>
  <si>
    <t>Mercedes Parte Alta</t>
  </si>
  <si>
    <t>ROSALBA CAÑIZARES LOBO</t>
  </si>
  <si>
    <t>Brr. El Hatillo</t>
  </si>
  <si>
    <t>SARA SEPÚLVEDA DE PEDROZA</t>
  </si>
  <si>
    <t>Cra. 28e N° 27-03 Brr. El Carmen</t>
  </si>
  <si>
    <t>SARAY QUINTERO QUINTERO</t>
  </si>
  <si>
    <t>Cra. 25 Comuneros</t>
  </si>
  <si>
    <t>TORCOROMA CARRASCAL SEPÚLVEDA</t>
  </si>
  <si>
    <t>VICTOR KENNEDYS GUERRERO INFANTE</t>
  </si>
  <si>
    <t>Cll. 116-60 kdx 277-290 Brr. Juan XXIII</t>
  </si>
  <si>
    <t>VICTOR MARINO GUERREO PAZ</t>
  </si>
  <si>
    <t>Cra. 103-01 Brr. El Tejarito</t>
  </si>
  <si>
    <t>VITERMINIA DURÁN DUARTE</t>
  </si>
  <si>
    <t>Villa Karina- Mz 12 El Hatillo</t>
  </si>
  <si>
    <t>WILDER FABIAN ACOSTA CAÑIZARES</t>
  </si>
  <si>
    <t>KDX 072- 361</t>
  </si>
  <si>
    <t>WILSON TORRES ARENAS</t>
  </si>
  <si>
    <t>KDX 701-350 ASOVIGIRON</t>
  </si>
  <si>
    <t>YADIRA QUINTERO DURÁN</t>
  </si>
  <si>
    <t>YANETH FELISA CARRASCAL QUINTANA</t>
  </si>
  <si>
    <t xml:space="preserve">KDX 112-340 BRR. Carmen </t>
  </si>
  <si>
    <t>YOLIMA PAÉZ PÉREZ</t>
  </si>
  <si>
    <t>Brr. El Dorado</t>
  </si>
  <si>
    <t>ÁNGEL FABIÁN GUERRERO</t>
  </si>
  <si>
    <t>Cll. 9B N° 0-08 Brr.Villanueva</t>
  </si>
  <si>
    <t>CODIGO SUI</t>
  </si>
  <si>
    <t>FAMILIA</t>
  </si>
  <si>
    <t>METALES</t>
  </si>
  <si>
    <t>CHATARRA</t>
  </si>
  <si>
    <t>BRONCE</t>
  </si>
  <si>
    <t>ANTIMONIO</t>
  </si>
  <si>
    <t>ACERO</t>
  </si>
  <si>
    <t>OTROS METALES</t>
  </si>
  <si>
    <t>PAPEL Y CARTÓN</t>
  </si>
  <si>
    <t>ARCHIVO</t>
  </si>
  <si>
    <t>CARTÓN</t>
  </si>
  <si>
    <t>CUBETAS O PANELES</t>
  </si>
  <si>
    <t>PERIÓDICO</t>
  </si>
  <si>
    <t>PLEGADIZA</t>
  </si>
  <si>
    <t>TETRA PACK</t>
  </si>
  <si>
    <t>PLASTIFICADO</t>
  </si>
  <si>
    <t>KRAF</t>
  </si>
  <si>
    <t>OTROS PAPEL Y CARTÓN</t>
  </si>
  <si>
    <t>PLÁSTICOS</t>
  </si>
  <si>
    <t>ACRÍLICO</t>
  </si>
  <si>
    <t>PASTA</t>
  </si>
  <si>
    <t>SOPLADO</t>
  </si>
  <si>
    <t>POLIPROPILENO</t>
  </si>
  <si>
    <t>OTROS PLÁSTICOS</t>
  </si>
  <si>
    <t>VIDRIO</t>
  </si>
  <si>
    <t>OTROS VIDRIOS</t>
  </si>
  <si>
    <t>RECHAZO</t>
  </si>
  <si>
    <t>RECIBO</t>
  </si>
  <si>
    <t>DASHBOARD ARECUPERAR</t>
  </si>
  <si>
    <t>MES:</t>
  </si>
  <si>
    <t>TOTAL PAGADO</t>
  </si>
  <si>
    <t>TOTAL KG</t>
  </si>
  <si>
    <t>🔄 ACTUALIZAR DASHBOARD</t>
  </si>
  <si>
    <t>TOTAL RECIBOS</t>
  </si>
  <si>
    <t>TOP RECICLADORES</t>
  </si>
  <si>
    <t>MATERIALES</t>
  </si>
  <si>
    <t>CÓDIGO VBA ACTUALIZADO - TABLA SIN CÓDIGO SUI NI FAMILIA</t>
  </si>
  <si>
    <t xml:space="preserve">
Sub GuardarRecibo()
Dim sh As Worksheet, rg As Worksheet
Dim fila As Long, i As Long, guardo As Boolean
Set sh = Sheets("RECIBO")
Set rg = Sheets("REGISTRO")
If Trim(sh.Range("B6").Value) = "" Then
    MsgBox "Seleccione reciclador"
    Exit Sub
End If
For i = 12 To 21
    If Trim(sh.Cells(i, 2).Value) &lt;&gt; "" And Val(sh.Cells(i, 3).Value) &gt; 0 Then
        fila = rg.Cells(rg.Rows.Count, 1).End(xlUp).Row + 1
        rg.Cells(fila, 1).Value = sh.Range("B4").Value
        rg.Cells(fila, 2).Value = sh.Range("E4").Value
        rg.Cells(fila, 3).Value = sh.Range("B6").Value
        rg.Cells(fila, 4).Value = sh.Range("B7").Value
        rg.Cells(fila, 5).Value = sh.Cells(i, 2).Value
        rg.Cells(fila, 6).Value = sh.Cells(i, 3).Value
        rg.Cells(fila, 7).Value = sh.Cells(i, 4).Value
        rg.Cells(fila, 8).Value = sh.Cells(i, 5).Value
        guardo = True
    End If
Next i
If guardo = False Then
    MsgBox "Ingrese al menos un material con KG"
    Exit Sub
End If
sh.Range("B6,B7,B8,E7,E8,B12:D21").ClearContents
sh.Range("B4").Value = sh.Range("B4").Value + 1
MsgBox "Recibo guardado correctamente"
End Sub
Sub EditarRecibo()
Dim num As Variant, rg As Worksheet, sh As Worksheet
Dim i As Long, filaDestino As Long, encontrado As Boolean
Set rg = Sheets("REGISTRO")
Set sh = Sheets("RECIBO")
num = InputBox("Digite número de recibo")
If num = "" Then Exit Sub
sh.Range("B12:D21").ClearContents
filaDestino = 12
For i = 2 To rg.Cells(rg.Rows.Count, 1).End(xlUp).Row
    If rg.Cells(i, 1).Value = CLng(num) Then
        sh.Range("B4").Value = rg.Cells(i, 1).Value
        sh.Range("E4").Value = rg.Cells(i, 2).Value
        sh.Range("B6").Value = rg.Cells(i, 3).Value
        sh.Range("B7").Value = rg.Cells(i, 4).Value
        sh.Cells(filaDestino, 2).Value = rg.Cells(i, 5).Value
        sh.Cells(filaDestino, 3).Value = rg.Cells(i, 6).Value
        sh.Cells(filaDestino, 4).Value = rg.Cells(i, 7).Value
        filaDestino = filaDestino + 1
        encontrado = True
    End If
Next i
If encontrado Then
    MsgBox "Recibo cargado para editar"
Else
    MsgBox "No se encontró ese recibo"
End If
End Sub
Sub ImprimirRecibo()
Sheets("RECIBO").PrintOut
End Sub
</t>
  </si>
  <si>
    <t>Nº</t>
  </si>
  <si>
    <t>ALUMINIO GRUESO</t>
  </si>
  <si>
    <t>ALUMINIO LATA</t>
  </si>
  <si>
    <t>ALUMINIO BLANDO</t>
  </si>
  <si>
    <t>ALUMINIO PERFIL</t>
  </si>
  <si>
    <t>ALUMINIO BANDA</t>
  </si>
  <si>
    <t>ALUMINIO GUAYA</t>
  </si>
  <si>
    <t>ALUMINIO RINES</t>
  </si>
  <si>
    <t>PRECIO</t>
  </si>
  <si>
    <t>CHATARRA GRIS</t>
  </si>
  <si>
    <t>COBRE #1</t>
  </si>
  <si>
    <t>COBRE #2</t>
  </si>
  <si>
    <t>PASTA NEGRA</t>
  </si>
  <si>
    <t>PASTA SILLA</t>
  </si>
  <si>
    <t>PASTA LAVADORA</t>
  </si>
  <si>
    <t>PET TRANSPARENTE</t>
  </si>
  <si>
    <t>PET AMBAR</t>
  </si>
  <si>
    <t>PET VERDE</t>
  </si>
  <si>
    <t>PET ACEITE</t>
  </si>
  <si>
    <t>PET REVUELTO</t>
  </si>
  <si>
    <t>PVC TUVO</t>
  </si>
  <si>
    <t>PVC LAMINA</t>
  </si>
  <si>
    <t>BOLSA</t>
  </si>
  <si>
    <t>MANGUERA</t>
  </si>
  <si>
    <t>no trabaja</t>
  </si>
  <si>
    <t>junin, san francisco, centro,santa cruz, escuela concentracion IV centenario, Mercado</t>
  </si>
  <si>
    <t>NO TRABAJA</t>
  </si>
  <si>
    <t>el carmen, dorado, altos de cañaveral</t>
  </si>
  <si>
    <t>buenos aires, el dorado, la primavera</t>
  </si>
  <si>
    <t>el carmen</t>
  </si>
  <si>
    <t>buenos aires, el dorado</t>
  </si>
  <si>
    <t>el carmen, dorado</t>
  </si>
  <si>
    <t>bruselas, peñon</t>
  </si>
  <si>
    <t>cristo rey, circunvalar</t>
  </si>
  <si>
    <t>comuneros</t>
  </si>
  <si>
    <t>cristo rey</t>
  </si>
  <si>
    <t>santa clara, villa mar, villa paraiso, perla etc</t>
  </si>
  <si>
    <t>bares, gloria, primavera, ciudad jardin</t>
  </si>
  <si>
    <t>primero de mayo, marabel, IV centenario, llano, llanadas, modelo, escuela industrial, edificio chikala, edificio la castellana, parque 34, buenos aires.</t>
  </si>
  <si>
    <t>juan 23, torcoroma, landia, tejarito, barrio la costa</t>
  </si>
  <si>
    <t>dorado parte alta</t>
  </si>
  <si>
    <t>cañaveral</t>
  </si>
  <si>
    <t>dorado, parque 34, buenos aires</t>
  </si>
  <si>
    <t>primero de mayo, marabel, marabelito</t>
  </si>
  <si>
    <t>bruselas, peñon, retiro</t>
  </si>
  <si>
    <t>NO TRABAJAN</t>
  </si>
  <si>
    <t>sesquicentenario, comunerops, retiro, peñon, bruselas, gustavo alayon, palmita, bambo, 26 de julio, san antonio, piñuela</t>
  </si>
  <si>
    <t>landia, juan 23, torcoroma, santa eudosia, delicias, tejarito, la popa, el canal, bretaña, tamaco, centro, tacaloa, martinete, drogueria X</t>
  </si>
  <si>
    <t>las villas, primero de mayo, camilo torrres, marabel, marabelito, enfermeras, nueva españa, IV centenario, lagos, ciudad jardin, policia, palmeras, buenos aires, las ferias, profesionales, colinas</t>
  </si>
  <si>
    <t>calle de calzajes, santa marta, la modelo, cementerio central, urbanizacion marina, la costa, calle torito, santa rita</t>
  </si>
  <si>
    <t>ciudadela norte, vila mar, cistales, perla, galan, libano</t>
  </si>
  <si>
    <t xml:space="preserve">gloria, avenida, buenos aires, lago, juan23, </t>
  </si>
  <si>
    <t>marabel, modelo, primero de mayo</t>
  </si>
  <si>
    <t>landia, parque el lago, 20 de julio, llano, mercado</t>
  </si>
  <si>
    <t xml:space="preserve">marabel, modelo, primero de mayo, </t>
  </si>
  <si>
    <t>landia, parque el lago, 20 de julio, llano</t>
  </si>
  <si>
    <t xml:space="preserve">sesquicentenario, peñon, </t>
  </si>
  <si>
    <t>simon bolivar,polaco 1, barrio el carmen</t>
  </si>
  <si>
    <t>Simón bolivar,polaco 1, barrio el carmen</t>
  </si>
  <si>
    <t>vicentinas, el carmen, villa mar,dorado, buenos aires</t>
  </si>
  <si>
    <t>Juan 23, torcoroma, marabel, primero de mayo, modelo, avenida</t>
  </si>
  <si>
    <t>parque principal, san francisco, centro</t>
  </si>
  <si>
    <t>juan 23</t>
  </si>
  <si>
    <t>marabel, comuneros,dorado parte baja, barrio el carmen por el instituto biblico</t>
  </si>
  <si>
    <t>primero de mayo,marabel,camilo torres,nueva españa, IV centenario</t>
  </si>
  <si>
    <t>centro, juan 23, torcoroma, etc</t>
  </si>
  <si>
    <t>altos de cañaveral,santa ana, barrio el carmen, vicetina, el dorado, prado verde, cañaveral</t>
  </si>
  <si>
    <t>centro,edificio lemus, cootrasunidos, multipollo</t>
  </si>
  <si>
    <t>bambo y arrededores</t>
  </si>
  <si>
    <t>buenos aires, barrio el carmen (cerca de donde él)</t>
  </si>
  <si>
    <t>cañaveral, jardin de la rosa, villas de anton</t>
  </si>
  <si>
    <t>marabel, sesquicentenario, monte lago, llanadas</t>
  </si>
  <si>
    <t>landia, marabelito, llanadas</t>
  </si>
  <si>
    <t>Los seguros, la gloria, san agustin, avenida</t>
  </si>
  <si>
    <t>cuidad jardin, buenos aires, calle de las ferias, primavera, torres del cable, miradores de la colina</t>
  </si>
  <si>
    <t>villanueva,bambo, cerro de los muertos, san fermin, la esperanza, 26 de julio, ramal, tabachines, promesa de Dios, cueta blanca</t>
  </si>
  <si>
    <t>cento, jesus cautivo, martinete, carretero, tamaco, tacaloa, san agustin, molino</t>
  </si>
  <si>
    <t>marabel, camilo torres, primero de mayo, bambo, sol y sombra</t>
  </si>
  <si>
    <t>juan 23, tejarito, bambo, cementerio central, landia, modelo</t>
  </si>
  <si>
    <t>torcoroma, juan 23, nueva españa, landia, lago, cementerio central, san francisco, san agustin</t>
  </si>
  <si>
    <t>marabel, modelo, santa marta, marabelito, primero de mayo, llanadas, llano, rotina, el mercado</t>
  </si>
  <si>
    <t>no trabajan</t>
  </si>
  <si>
    <t>buenos aires, dorado, carmen, arrayanez</t>
  </si>
  <si>
    <t>Centro, 1/4 frio</t>
  </si>
  <si>
    <t>Barrio la riviera, dulce nombre, centro</t>
  </si>
  <si>
    <t>hospital, barrio altos de tamara, cine, centro</t>
  </si>
  <si>
    <t>llandas,, centro, clinica torcoroma</t>
  </si>
  <si>
    <t>centro, batallon</t>
  </si>
  <si>
    <t>centro</t>
  </si>
  <si>
    <t>buenos aires, palmeras, las ferias, el dorado</t>
  </si>
  <si>
    <t>cañaveral, villa de anton, jardin de la rosa, primero de mayo, vicentenario,</t>
  </si>
  <si>
    <t>centro, Batallon</t>
  </si>
  <si>
    <t>juan 23, villa carolina, torocoroma, santa cruz, cementerio central, villa marina, nueva españa, landia</t>
  </si>
  <si>
    <t>Marabelito,primero de mayo, camilo torres, IV centenario, carretero,</t>
  </si>
  <si>
    <t>torcoroma, primero de mayo</t>
  </si>
  <si>
    <t>Marabel, llano, juan 23, simon bolivar</t>
  </si>
  <si>
    <t>centro, hospital, avenida</t>
  </si>
  <si>
    <t>marabel, cementerio centra</t>
  </si>
  <si>
    <t>torcoroma, juan 23</t>
  </si>
  <si>
    <t>torres del cable, estadio, avenida</t>
  </si>
  <si>
    <t>buenos aires</t>
  </si>
  <si>
    <t>tamaco, tacaloa</t>
  </si>
  <si>
    <t>torcoroma, juan 23, marabel, marabelito, primero de mayo</t>
  </si>
  <si>
    <t>san fermin, san francisco</t>
  </si>
  <si>
    <t>la carbonera, acolsure, bambo, almendros, san antonio, palomar, las mercedes, jesus cautivo, villanueva, alcantarillas, san fermin</t>
  </si>
  <si>
    <t>favorita, la costa, santa rita, tejarito,milanes, san francisco</t>
  </si>
  <si>
    <t>camilo torres, marabel, juan 23, landia, moelo, primero de mayo</t>
  </si>
  <si>
    <t>via aguas claras, via agua de la virgen</t>
  </si>
  <si>
    <t>santa clara, galan y aledaños</t>
  </si>
  <si>
    <t xml:space="preserve"> lleva a la ECA</t>
  </si>
  <si>
    <t>dorado, vicentinas, divino niño, urbanizacion las ibañez, juan pablo 2</t>
  </si>
  <si>
    <t>ORLANDO ORTEGA DÍAZ</t>
  </si>
  <si>
    <t xml:space="preserve">pradera </t>
  </si>
  <si>
    <t>lagos, santa clara, gloria</t>
  </si>
  <si>
    <t>luz polar, cementerio, san agustin llanadas</t>
  </si>
  <si>
    <t>marabel</t>
  </si>
  <si>
    <t>sol y sombra, bambo, promesa de DIOS</t>
  </si>
  <si>
    <t>bambo, promesa de DIOS</t>
  </si>
  <si>
    <t>no trabajo</t>
  </si>
  <si>
    <t>mercado, centro</t>
  </si>
  <si>
    <t>luz polar, carretero, molino, dulce nombre</t>
  </si>
  <si>
    <t>cuesta blanca</t>
  </si>
  <si>
    <t>luz polar,carretero,bambo,cuesta blanca, el carbon, jesus cautivo, bosque, box coulver</t>
  </si>
  <si>
    <t>dorado, hatillo, el carmen, simon bolivar, la costa</t>
  </si>
  <si>
    <t>torcoroma, juan 23, marabael, villa carolina, modelo, marabelito</t>
  </si>
  <si>
    <t>marabel, llano, llanadas, rotina</t>
  </si>
  <si>
    <t>el carmen, villa de anton</t>
  </si>
  <si>
    <t>lagos, monte lago, buenos aires</t>
  </si>
  <si>
    <t>cañaveral, jardin de la rosa, dorado, altos de santa ana</t>
  </si>
  <si>
    <t>buenos aires, la palmeras</t>
  </si>
  <si>
    <t>san agustin, martinete, la costa, la popa</t>
  </si>
  <si>
    <t>villanueva, alcantarillas, tejarito, llanito, espinazo</t>
  </si>
  <si>
    <t>BENJAMIN AMAYA JULIO</t>
  </si>
  <si>
    <t>Brr. Camilo Torres</t>
  </si>
  <si>
    <t>SI</t>
  </si>
  <si>
    <t>FRANSISCO ANTONIO ILLERA BARBOSA</t>
  </si>
  <si>
    <t xml:space="preserve">OCAÑA </t>
  </si>
  <si>
    <t>RUTA</t>
  </si>
  <si>
    <t>LUNES</t>
  </si>
  <si>
    <t>MARTES</t>
  </si>
  <si>
    <t>MIERCOLES</t>
  </si>
  <si>
    <t>JUEVES</t>
  </si>
  <si>
    <t>VIERNES</t>
  </si>
  <si>
    <t>SABADO</t>
  </si>
  <si>
    <t>DOMINGO</t>
  </si>
  <si>
    <t xml:space="preserve">TOTAL  </t>
  </si>
  <si>
    <t>RETEFUENTE</t>
  </si>
  <si>
    <t xml:space="preserve">PLACA </t>
  </si>
  <si>
    <t>ZOD786</t>
  </si>
  <si>
    <t>BLA055</t>
  </si>
  <si>
    <t>KG NETO</t>
  </si>
  <si>
    <t>TIPO DE IDENTIFICACION DEL RECICLADOR U OPERARIO</t>
  </si>
  <si>
    <t xml:space="preserve">NUMERO DE IDENTIFICACION DEL RECICLADOR U OPERARIO </t>
  </si>
  <si>
    <t>PLACA DEL VEHICULO QUE INGRESA EL MATERIAL</t>
  </si>
  <si>
    <t xml:space="preserve">CANTIDAD DE MATERIAL ENTRANTE </t>
  </si>
  <si>
    <t xml:space="preserve">TIPO DE MATERIAL ENTRANTE </t>
  </si>
  <si>
    <t xml:space="preserve">RECHAZO ASOCIADO AL MATERIAL ENTRANTE </t>
  </si>
  <si>
    <t>TIPO DE SITIO DE DESTINO DEL RECHAZO</t>
  </si>
  <si>
    <t>NUMERO UNICO DEL SITIO DEL DESTINO</t>
  </si>
  <si>
    <t>PRECIO DE KG</t>
  </si>
  <si>
    <t>SEMANA</t>
  </si>
  <si>
    <t>KG RECHAZADO</t>
  </si>
  <si>
    <t>NUECA</t>
  </si>
  <si>
    <t>NUMACRO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</si>
</sst>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\ #,##0;[Red]\-&quot;$&quot;\ #,##0"/>
    <numFmt numFmtId="165" formatCode="&quot;$&quot;\ #,##0.00;\-&quot;$&quot;\ #,##0.00"/>
    <numFmt numFmtId="166" formatCode="_-&quot;$&quot;\ * #,##0.00_-;\-&quot;$&quot;\ * #,##0.00_-;_-&quot;$&quot;\ * &quot;-&quot;??_-;_-@_-"/>
    <numFmt numFmtId="167" formatCode="\$\ #,##0"/>
    <numFmt numFmtId="168" formatCode="mm/yyyy"/>
  </numFmts>
  <fonts count="19" x14ac:knownFonts="1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</font>
    <font>
      <b/>
      <sz val="11"/>
      <color rgb="FF1B5E20"/>
      <name val="Calibri"/>
      <family val="2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6"/>
      <color rgb="FF1B5E2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4"/>
      <color rgb="FF000000"/>
      <name val="Cambria"/>
      <family val="1"/>
    </font>
    <font>
      <b/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FFFFFF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2E7D32"/>
      </patternFill>
    </fill>
    <fill>
      <patternFill patternType="solid">
        <fgColor rgb="FFE8F5E9"/>
      </patternFill>
    </fill>
    <fill>
      <patternFill patternType="solid">
        <fgColor rgb="FFFFF9C4"/>
      </patternFill>
    </fill>
    <fill>
      <patternFill patternType="solid">
        <fgColor rgb="FFC8E6C9"/>
      </patternFill>
    </fill>
    <fill>
      <patternFill patternType="solid">
        <fgColor rgb="FFE3F2FD"/>
      </patternFill>
    </fill>
    <fill>
      <patternFill patternType="solid">
        <fgColor rgb="FFFFF3E0"/>
      </patternFill>
    </fill>
    <fill>
      <patternFill patternType="solid">
        <fgColor rgb="FF2E7D32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886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007BB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0"/>
      </top>
      <bottom/>
      <diagonal/>
    </border>
    <border>
      <left style="thin">
        <color theme="6" tint="-0.499984740745262"/>
      </left>
      <right style="thin">
        <color theme="6" tint="-0.499984740745262"/>
      </right>
      <top/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theme="0"/>
      </left>
      <right/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theme="0"/>
      </right>
      <top style="double">
        <color indexed="64"/>
      </top>
      <bottom style="double">
        <color theme="0"/>
      </bottom>
      <diagonal/>
    </border>
    <border>
      <left/>
      <right style="double">
        <color theme="0"/>
      </right>
      <top/>
      <bottom/>
      <diagonal/>
    </border>
    <border>
      <left style="double">
        <color indexed="64"/>
      </left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indexed="64"/>
      </right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indexed="64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 style="double">
        <color indexed="64"/>
      </right>
      <top style="double">
        <color indexed="64"/>
      </top>
      <bottom style="double">
        <color theme="0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166" fontId="12" fillId="0" borderId="0" applyFont="0" applyFill="0" applyBorder="0" applyAlignment="0" applyProtection="0"/>
  </cellStyleXfs>
  <cellXfs count="117">
    <xf numFmtId="0" fontId="0" fillId="0" borderId="0" xfId="0"/>
    <xf numFmtId="0" fontId="3" fillId="2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5" fillId="3" borderId="1" xfId="0" applyFont="1" applyFill="1" applyBorder="1" applyAlignment="1">
      <alignment vertical="center"/>
    </xf>
    <xf numFmtId="2" fontId="4" fillId="6" borderId="1" xfId="0" applyNumberFormat="1" applyFont="1" applyFill="1" applyBorder="1" applyAlignment="1">
      <alignment vertical="center"/>
    </xf>
    <xf numFmtId="1" fontId="4" fillId="7" borderId="1" xfId="0" applyNumberFormat="1" applyFont="1" applyFill="1" applyBorder="1" applyAlignment="1">
      <alignment vertical="center"/>
    </xf>
    <xf numFmtId="2" fontId="0" fillId="0" borderId="1" xfId="0" applyNumberFormat="1" applyBorder="1" applyAlignment="1">
      <alignment vertical="center"/>
    </xf>
    <xf numFmtId="0" fontId="6" fillId="0" borderId="0" xfId="0" applyFont="1" applyAlignment="1">
      <alignment vertic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vertical="top" wrapText="1"/>
    </xf>
    <xf numFmtId="14" fontId="0" fillId="0" borderId="0" xfId="0" applyNumberFormat="1"/>
    <xf numFmtId="167" fontId="0" fillId="0" borderId="0" xfId="0" applyNumberFormat="1" applyAlignment="1">
      <alignment vertical="center"/>
    </xf>
    <xf numFmtId="168" fontId="0" fillId="4" borderId="0" xfId="0" applyNumberFormat="1" applyFill="1"/>
    <xf numFmtId="167" fontId="4" fillId="3" borderId="1" xfId="0" applyNumberFormat="1" applyFont="1" applyFill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9" fillId="8" borderId="0" xfId="0" applyFont="1" applyFill="1"/>
    <xf numFmtId="166" fontId="0" fillId="0" borderId="0" xfId="1" applyFont="1"/>
    <xf numFmtId="0" fontId="3" fillId="2" borderId="3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164" fontId="0" fillId="0" borderId="4" xfId="0" applyNumberFormat="1" applyBorder="1"/>
    <xf numFmtId="165" fontId="0" fillId="0" borderId="0" xfId="0" applyNumberFormat="1"/>
    <xf numFmtId="0" fontId="15" fillId="0" borderId="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4" borderId="0" xfId="0" applyNumberFormat="1" applyFill="1" applyAlignment="1">
      <alignment horizontal="center"/>
    </xf>
    <xf numFmtId="0" fontId="0" fillId="14" borderId="0" xfId="0" applyFill="1"/>
    <xf numFmtId="0" fontId="0" fillId="0" borderId="6" xfId="0" applyBorder="1"/>
    <xf numFmtId="0" fontId="0" fillId="15" borderId="6" xfId="0" applyFill="1" applyBorder="1"/>
    <xf numFmtId="0" fontId="3" fillId="14" borderId="1" xfId="0" applyFont="1" applyFill="1" applyBorder="1" applyAlignment="1">
      <alignment horizontal="center" vertical="center"/>
    </xf>
    <xf numFmtId="0" fontId="0" fillId="9" borderId="0" xfId="0" applyFill="1"/>
    <xf numFmtId="0" fontId="0" fillId="16" borderId="0" xfId="0" applyFill="1"/>
    <xf numFmtId="0" fontId="0" fillId="15" borderId="0" xfId="0" applyFill="1"/>
    <xf numFmtId="0" fontId="7" fillId="0" borderId="0" xfId="0" applyFont="1" applyAlignment="1">
      <alignment horizontal="center" vertical="center"/>
    </xf>
    <xf numFmtId="0" fontId="0" fillId="11" borderId="0" xfId="0" applyFill="1"/>
    <xf numFmtId="0" fontId="16" fillId="11" borderId="0" xfId="0" applyFont="1" applyFill="1" applyAlignment="1">
      <alignment horizontal="left" vertical="center" wrapText="1"/>
    </xf>
    <xf numFmtId="0" fontId="7" fillId="11" borderId="0" xfId="0" applyFont="1" applyFill="1" applyAlignment="1">
      <alignment horizontal="center" vertical="center"/>
    </xf>
    <xf numFmtId="0" fontId="0" fillId="0" borderId="8" xfId="0" applyBorder="1"/>
    <xf numFmtId="0" fontId="0" fillId="11" borderId="7" xfId="0" applyFill="1" applyBorder="1"/>
    <xf numFmtId="0" fontId="0" fillId="11" borderId="9" xfId="0" applyFill="1" applyBorder="1"/>
    <xf numFmtId="0" fontId="0" fillId="0" borderId="10" xfId="0" applyBorder="1"/>
    <xf numFmtId="0" fontId="5" fillId="9" borderId="12" xfId="0" applyFont="1" applyFill="1" applyBorder="1" applyAlignment="1">
      <alignment horizontal="left" vertical="center"/>
    </xf>
    <xf numFmtId="14" fontId="10" fillId="10" borderId="12" xfId="0" applyNumberFormat="1" applyFont="1" applyFill="1" applyBorder="1" applyAlignment="1">
      <alignment vertical="center"/>
    </xf>
    <xf numFmtId="0" fontId="10" fillId="9" borderId="12" xfId="0" applyFont="1" applyFill="1" applyBorder="1" applyAlignment="1">
      <alignment horizontal="left"/>
    </xf>
    <xf numFmtId="0" fontId="17" fillId="10" borderId="12" xfId="0" applyFont="1" applyFill="1" applyBorder="1" applyAlignment="1">
      <alignment horizontal="center" vertical="center" wrapText="1"/>
    </xf>
    <xf numFmtId="0" fontId="10" fillId="10" borderId="12" xfId="0" applyFont="1" applyFill="1" applyBorder="1" applyAlignment="1">
      <alignment horizontal="center" vertical="center"/>
    </xf>
    <xf numFmtId="0" fontId="11" fillId="8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left" vertical="center"/>
    </xf>
    <xf numFmtId="2" fontId="7" fillId="17" borderId="12" xfId="0" applyNumberFormat="1" applyFont="1" applyFill="1" applyBorder="1" applyAlignment="1">
      <alignment horizontal="center" vertical="center"/>
    </xf>
    <xf numFmtId="167" fontId="7" fillId="17" borderId="12" xfId="0" applyNumberFormat="1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2" fontId="7" fillId="0" borderId="12" xfId="0" applyNumberFormat="1" applyFont="1" applyBorder="1" applyAlignment="1">
      <alignment horizontal="center" vertical="center"/>
    </xf>
    <xf numFmtId="167" fontId="7" fillId="0" borderId="12" xfId="0" applyNumberFormat="1" applyFont="1" applyBorder="1" applyAlignment="1">
      <alignment horizontal="center" vertical="center"/>
    </xf>
    <xf numFmtId="0" fontId="7" fillId="0" borderId="12" xfId="0" applyFont="1" applyBorder="1" applyAlignment="1">
      <alignment horizontal="left" vertical="center"/>
    </xf>
    <xf numFmtId="0" fontId="0" fillId="17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7" fillId="11" borderId="12" xfId="0" applyFont="1" applyFill="1" applyBorder="1" applyAlignment="1">
      <alignment horizontal="left" vertical="center"/>
    </xf>
    <xf numFmtId="2" fontId="7" fillId="11" borderId="12" xfId="0" applyNumberFormat="1" applyFont="1" applyFill="1" applyBorder="1" applyAlignment="1">
      <alignment horizontal="center" vertical="center"/>
    </xf>
    <xf numFmtId="167" fontId="7" fillId="11" borderId="12" xfId="0" applyNumberFormat="1" applyFont="1" applyFill="1" applyBorder="1" applyAlignment="1">
      <alignment horizontal="center" vertical="center"/>
    </xf>
    <xf numFmtId="0" fontId="0" fillId="17" borderId="12" xfId="0" applyFill="1" applyBorder="1"/>
    <xf numFmtId="0" fontId="0" fillId="0" borderId="12" xfId="0" applyBorder="1"/>
    <xf numFmtId="166" fontId="7" fillId="0" borderId="12" xfId="1" applyFont="1" applyBorder="1" applyAlignment="1">
      <alignment horizontal="center" vertical="center"/>
    </xf>
    <xf numFmtId="166" fontId="13" fillId="0" borderId="12" xfId="1" applyFont="1" applyFill="1" applyBorder="1" applyAlignment="1">
      <alignment horizontal="center" vertical="center"/>
    </xf>
    <xf numFmtId="166" fontId="0" fillId="0" borderId="12" xfId="0" applyNumberFormat="1" applyBorder="1"/>
    <xf numFmtId="167" fontId="7" fillId="17" borderId="14" xfId="0" applyNumberFormat="1" applyFont="1" applyFill="1" applyBorder="1" applyAlignment="1">
      <alignment horizontal="center" vertical="center"/>
    </xf>
    <xf numFmtId="167" fontId="7" fillId="0" borderId="14" xfId="0" applyNumberFormat="1" applyFont="1" applyBorder="1" applyAlignment="1">
      <alignment horizontal="center" vertical="center"/>
    </xf>
    <xf numFmtId="167" fontId="7" fillId="11" borderId="14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wrapText="1"/>
    </xf>
    <xf numFmtId="167" fontId="7" fillId="0" borderId="15" xfId="0" applyNumberFormat="1" applyFont="1" applyBorder="1" applyAlignment="1">
      <alignment horizontal="center" vertical="center"/>
    </xf>
    <xf numFmtId="0" fontId="0" fillId="17" borderId="15" xfId="0" applyFill="1" applyBorder="1" applyAlignment="1">
      <alignment horizontal="center"/>
    </xf>
    <xf numFmtId="2" fontId="7" fillId="17" borderId="15" xfId="0" applyNumberFormat="1" applyFont="1" applyFill="1" applyBorder="1" applyAlignment="1">
      <alignment horizontal="center" vertical="center"/>
    </xf>
    <xf numFmtId="167" fontId="7" fillId="17" borderId="16" xfId="0" applyNumberFormat="1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10" fillId="0" borderId="21" xfId="0" applyFont="1" applyBorder="1" applyAlignment="1">
      <alignment wrapText="1"/>
    </xf>
    <xf numFmtId="0" fontId="0" fillId="0" borderId="20" xfId="0" applyBorder="1"/>
    <xf numFmtId="0" fontId="0" fillId="0" borderId="23" xfId="0" applyBorder="1"/>
    <xf numFmtId="0" fontId="7" fillId="0" borderId="24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0" fillId="0" borderId="24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0" fillId="0" borderId="27" xfId="0" applyBorder="1"/>
    <xf numFmtId="0" fontId="10" fillId="0" borderId="29" xfId="0" applyFont="1" applyBorder="1" applyAlignment="1">
      <alignment wrapText="1"/>
    </xf>
    <xf numFmtId="0" fontId="0" fillId="0" borderId="30" xfId="0" applyBorder="1"/>
    <xf numFmtId="0" fontId="0" fillId="0" borderId="13" xfId="0" applyBorder="1"/>
    <xf numFmtId="0" fontId="0" fillId="0" borderId="11" xfId="0" applyBorder="1"/>
    <xf numFmtId="0" fontId="0" fillId="0" borderId="31" xfId="0" applyBorder="1"/>
    <xf numFmtId="0" fontId="0" fillId="0" borderId="32" xfId="0" applyBorder="1"/>
    <xf numFmtId="0" fontId="0" fillId="0" borderId="2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5" xfId="0" applyBorder="1" applyAlignment="1">
      <alignment horizontal="center"/>
    </xf>
    <xf numFmtId="0" fontId="0" fillId="0" borderId="36" xfId="0" applyBorder="1"/>
    <xf numFmtId="0" fontId="0" fillId="18" borderId="6" xfId="0" applyFill="1" applyBorder="1"/>
    <xf numFmtId="0" fontId="10" fillId="10" borderId="12" xfId="0" applyFont="1" applyFill="1" applyBorder="1" applyAlignment="1">
      <alignment horizontal="center" vertical="center" wrapText="1"/>
    </xf>
    <xf numFmtId="0" fontId="10" fillId="10" borderId="12" xfId="0" applyFont="1" applyFill="1" applyBorder="1" applyAlignment="1">
      <alignment horizontal="center" vertical="center"/>
    </xf>
    <xf numFmtId="0" fontId="0" fillId="10" borderId="12" xfId="0" applyFill="1" applyBorder="1" applyAlignment="1">
      <alignment horizontal="center" wrapText="1"/>
    </xf>
    <xf numFmtId="0" fontId="0" fillId="10" borderId="12" xfId="0" applyFill="1" applyBorder="1" applyAlignment="1">
      <alignment horizontal="center" vertical="center" wrapText="1"/>
    </xf>
    <xf numFmtId="0" fontId="18" fillId="2" borderId="12" xfId="0" applyFont="1" applyFill="1" applyBorder="1" applyAlignment="1">
      <alignment horizontal="right" vertical="center"/>
    </xf>
    <xf numFmtId="0" fontId="2" fillId="5" borderId="1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/>
  </cellXfs>
  <cellStyles count="2">
    <cellStyle name="Moneda" xfId="1" builtinId="4"/>
    <cellStyle name="Normal" xfId="0" builtinId="0"/>
  </cellStyles>
  <dxfs count="22">
    <dxf>
      <numFmt numFmtId="169" formatCode="&quot;$&quot;\ #.##0;[Red]&quot;$&quot;\ #.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double">
          <color indexed="64"/>
        </left>
      </border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E7F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CO"/>
              <a:t>Top recicladores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DASHBOARD!$B$9</c:f>
              <c:strCache>
                <c:ptCount val="1"/>
                <c:pt idx="0">
                  <c:v>TOTAL PAGADO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DASHBOARD!$A$10:$A$19</c:f>
              <c:strCache>
                <c:ptCount val="10"/>
                <c:pt idx="0">
                  <c:v>ALEJO PÉREZ PÉREZ</c:v>
                </c:pt>
                <c:pt idx="1">
                  <c:v>ALFONSO PABÓN GUERRERO</c:v>
                </c:pt>
                <c:pt idx="2">
                  <c:v>ALIRIO ALBERTO PABÓN</c:v>
                </c:pt>
                <c:pt idx="3">
                  <c:v>ALVARO DE JESUS PICON MANTILLA</c:v>
                </c:pt>
                <c:pt idx="4">
                  <c:v>ANTONIA QUINTERO CALDERÓN</c:v>
                </c:pt>
                <c:pt idx="5">
                  <c:v>ARNOLDO CELESTINO HERRERA SÁNCHEZ</c:v>
                </c:pt>
                <c:pt idx="6">
                  <c:v>BERTHA YADIRA COLMENARES ARROLLO</c:v>
                </c:pt>
                <c:pt idx="7">
                  <c:v>BRITHEY ESMERALDA GUTIERREZ VERA</c:v>
                </c:pt>
                <c:pt idx="8">
                  <c:v>CARLOS ARTURO MEJÍA ROJAS</c:v>
                </c:pt>
                <c:pt idx="9">
                  <c:v>CARLOS VICENTE MARTÍNEZ</c:v>
                </c:pt>
              </c:strCache>
            </c:strRef>
          </c:cat>
          <c:val>
            <c:numRef>
              <c:f>DASHBOARD!$B$10:$B$19</c:f>
              <c:numCache>
                <c:formatCode>\$\ 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240000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9-42AB-B2D0-FFE92C192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$\ 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CO"/>
              <a:t>Materiales por kg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DASHBOARD!$E$9</c:f>
              <c:strCache>
                <c:ptCount val="1"/>
                <c:pt idx="0">
                  <c:v>TOTAL KG</c:v>
                </c:pt>
              </c:strCache>
            </c:strRef>
          </c:tx>
          <c:spPr>
            <a:ln>
              <a:prstDash val="solid"/>
            </a:ln>
          </c:spPr>
          <c:cat>
            <c:strRef>
              <c:f>DASHBOARD!$D$10:$D$19</c:f>
              <c:strCache>
                <c:ptCount val="10"/>
                <c:pt idx="0">
                  <c:v>ALUMINIO LATA</c:v>
                </c:pt>
                <c:pt idx="1">
                  <c:v>ALUMINIO GRUESO</c:v>
                </c:pt>
                <c:pt idx="2">
                  <c:v>ALUMINIO BLANDO</c:v>
                </c:pt>
                <c:pt idx="3">
                  <c:v>ALUMINIO PERFIL</c:v>
                </c:pt>
                <c:pt idx="4">
                  <c:v>ALUMINIO BANDA</c:v>
                </c:pt>
                <c:pt idx="5">
                  <c:v>ALUMINIO GUAYA</c:v>
                </c:pt>
                <c:pt idx="6">
                  <c:v>ALUMINIO RINES</c:v>
                </c:pt>
                <c:pt idx="7">
                  <c:v>CHATARRA GRIS</c:v>
                </c:pt>
                <c:pt idx="8">
                  <c:v>CHATARRA</c:v>
                </c:pt>
                <c:pt idx="9">
                  <c:v>COBRE #1</c:v>
                </c:pt>
              </c:strCache>
            </c:strRef>
          </c:cat>
          <c:val>
            <c:numRef>
              <c:f>DASHBOARD!$E$10:$E$19</c:f>
              <c:numCache>
                <c:formatCode>0.00</c:formatCode>
                <c:ptCount val="10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8-4C5D-8668-F7C9E2C01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13606</xdr:rowOff>
    </xdr:from>
    <xdr:ext cx="952500" cy="564697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13606"/>
          <a:ext cx="952500" cy="564697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0</xdr:rowOff>
        </xdr:from>
        <xdr:to>
          <xdr:col>3</xdr:col>
          <xdr:colOff>19050</xdr:colOff>
          <xdr:row>4</xdr:row>
          <xdr:rowOff>219075</xdr:rowOff>
        </xdr:to>
        <xdr:sp macro="" textlink="">
          <xdr:nvSpPr>
            <xdr:cNvPr id="1046" name="cmbReciclador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5</xdr:row>
          <xdr:rowOff>209550</xdr:rowOff>
        </xdr:from>
        <xdr:to>
          <xdr:col>7</xdr:col>
          <xdr:colOff>1457325</xdr:colOff>
          <xdr:row>6</xdr:row>
          <xdr:rowOff>209550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209550</xdr:rowOff>
        </xdr:from>
        <xdr:to>
          <xdr:col>7</xdr:col>
          <xdr:colOff>1457325</xdr:colOff>
          <xdr:row>9</xdr:row>
          <xdr:rowOff>28575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IMPRIMIR RECIBO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3</xdr:row>
          <xdr:rowOff>171450</xdr:rowOff>
        </xdr:from>
        <xdr:to>
          <xdr:col>8</xdr:col>
          <xdr:colOff>28575</xdr:colOff>
          <xdr:row>4</xdr:row>
          <xdr:rowOff>209550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GUARDAR RECIBO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60" name="cmbMaterial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3</xdr:row>
      <xdr:rowOff>0</xdr:rowOff>
    </xdr:from>
    <xdr:ext cx="432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19</xdr:row>
      <xdr:rowOff>0</xdr:rowOff>
    </xdr:from>
    <xdr:ext cx="432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Recicladores" displayName="TablaRecicladores" ref="A1:O78">
  <autoFilter ref="A1:O78" xr:uid="{00000000-0009-0000-0100-000001000000}"/>
  <tableColumns count="15">
    <tableColumn id="1" xr3:uid="{00000000-0010-0000-0000-000001000000}" name="ID"/>
    <tableColumn id="2" xr3:uid="{00000000-0010-0000-0000-000002000000}" name="NOMBRE"/>
    <tableColumn id="3" xr3:uid="{00000000-0010-0000-0000-000003000000}" name="DOCUMENTO"/>
    <tableColumn id="4" xr3:uid="{00000000-0010-0000-0000-000004000000}" name="TELEFONO"/>
    <tableColumn id="5" xr3:uid="{00000000-0010-0000-0000-000005000000}" name="DIRECCION"/>
    <tableColumn id="6" xr3:uid="{00000000-0010-0000-0000-000006000000}" name="MUNICIPIO"/>
    <tableColumn id="7" xr3:uid="{00000000-0010-0000-0000-000007000000}" name="ACTIVO" dataDxfId="12"/>
    <tableColumn id="8" xr3:uid="{4A2CA29D-D17C-4857-808F-B9FCDA96AD24}" name="LUNES" dataDxfId="11"/>
    <tableColumn id="10" xr3:uid="{4ED420D7-5093-4BB0-8AA4-290B254D0847}" name="MARTES" dataDxfId="10"/>
    <tableColumn id="12" xr3:uid="{C76A7C72-08D0-4288-BAF0-7A258BE9C7BB}" name="MIERCOLES" dataDxfId="9"/>
    <tableColumn id="14" xr3:uid="{34D692B9-BC42-49D7-8111-221BBCB1982C}" name="JUEVES" dataDxfId="8"/>
    <tableColumn id="16" xr3:uid="{47BCD8F2-D444-4D05-B8FC-50AB9F1DE9A2}" name="VIERNES" dataDxfId="7"/>
    <tableColumn id="18" xr3:uid="{C5B7A28A-6E5C-4F61-B572-DC458BD79E92}" name="SABADO" dataDxfId="6"/>
    <tableColumn id="20" xr3:uid="{568C17E1-409E-40DE-900D-ECFE269935A3}" name="DOMINGO" dataDxfId="5"/>
    <tableColumn id="9" xr3:uid="{6555878B-C078-4774-BC8C-1969715CAD45}" name="PLACA " dataDxfId="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Materiales" displayName="TablaMateriales" ref="A1:D45">
  <autoFilter ref="A1:D45" xr:uid="{00000000-0009-0000-0100-000002000000}"/>
  <tableColumns count="4">
    <tableColumn id="1" xr3:uid="{00000000-0010-0000-0100-000001000000}" name="CODIGO SUI" dataDxfId="3"/>
    <tableColumn id="2" xr3:uid="{00000000-0010-0000-0100-000002000000}" name="FAMILIA" dataDxfId="2"/>
    <tableColumn id="3" xr3:uid="{00000000-0010-0000-0100-000003000000}" name="MATERIAL" dataDxfId="1"/>
    <tableColumn id="4" xr3:uid="{B6B57DD3-D7D4-4F89-A558-54513A579356}" name="PRECIO" dataDxfId="0" dataCellStyle="Moneda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Registro" displayName="TablaRegistro" ref="B1:U1108">
  <sortState xmlns:xlrd2="http://schemas.microsoft.com/office/spreadsheetml/2017/richdata2" ref="B2:U1045">
    <sortCondition ref="B1:B1045"/>
  </sortState>
  <tableColumns count="20">
    <tableColumn id="1" xr3:uid="{00000000-0010-0000-0200-000001000000}" name="FECHA"/>
    <tableColumn id="2" xr3:uid="{00000000-0010-0000-0200-000002000000}" name="RECICLADOR"/>
    <tableColumn id="3" xr3:uid="{00000000-0010-0000-0200-000003000000}" name="DOCUMENTO"/>
    <tableColumn id="4" xr3:uid="{00000000-0010-0000-0200-000004000000}" name="MATERIAL"/>
    <tableColumn id="5" xr3:uid="{00000000-0010-0000-0200-000005000000}" name="KG"/>
    <tableColumn id="6" xr3:uid="{00000000-0010-0000-0200-000006000000}" name="PRECIO DE KG"/>
    <tableColumn id="7" xr3:uid="{00000000-0010-0000-0200-000007000000}" name="TOTAL"/>
    <tableColumn id="8" xr3:uid="{00000000-0010-0000-0200-000008000000}" name="SEMANA"/>
    <tableColumn id="9" xr3:uid="{403A03AB-F2BF-4F4C-B2B8-503CA92E06F5}" name="KG RECHAZADO" dataDxfId="21"/>
    <tableColumn id="11" xr3:uid="{0B4081A4-C70A-4EDC-A2B8-2626503F12B3}" name="KG NETO" dataDxfId="20"/>
    <tableColumn id="12" xr3:uid="{6547FFFE-C7EA-4DEF-A3AE-E66480B85ACD}" name="NUECA" dataDxfId="19"/>
    <tableColumn id="10" xr3:uid="{A0F83CD8-064A-4664-938D-6926B04D88F3}" name="NUMACRO"/>
    <tableColumn id="13" xr3:uid="{A9D852AB-434C-45F7-8197-121992FF813F}" name="TIPO DE IDENTIFICACION DEL RECICLADOR U OPERARIO"/>
    <tableColumn id="14" xr3:uid="{CAF8FF77-2079-4CA9-96FB-544179F415E1}" name="NUMERO DE IDENTIFICACION DEL RECICLADOR U OPERARIO "/>
    <tableColumn id="15" xr3:uid="{66FB6F7B-8425-4797-A460-A55A7AAF1701}" name="PLACA DEL VEHICULO QUE INGRESA EL MATERIAL" dataDxfId="18"/>
    <tableColumn id="16" xr3:uid="{02F8F4F3-D797-46A6-BAAB-562E9DB3A8A7}" name="CANTIDAD DE MATERIAL ENTRANTE " dataDxfId="17"/>
    <tableColumn id="17" xr3:uid="{AE4983D3-9041-4229-94C3-A9A23A3C30F1}" name="TIPO DE MATERIAL ENTRANTE " dataDxfId="16"/>
    <tableColumn id="18" xr3:uid="{4FD4CA1A-C740-45BE-9C3D-7963DE801011}" name="RECHAZO ASOCIADO AL MATERIAL ENTRANTE " dataDxfId="15"/>
    <tableColumn id="19" xr3:uid="{5ADF9992-690B-4E87-B3C5-413A185A920A}" name="TIPO DE SITIO DE DESTINO DEL RECHAZO" dataDxfId="14"/>
    <tableColumn id="20" xr3:uid="{59D60D94-044D-403B-B7B1-0C0F8A6F5072}" name="NUMERO UNICO DEL SITIO DEL DESTINO" dataDxfId="13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W269"/>
  <sheetViews>
    <sheetView tabSelected="1" zoomScale="140" zoomScaleNormal="140" workbookViewId="0">
      <selection activeCell="H13" sqref="H13"/>
    </sheetView>
  </sheetViews>
  <sheetFormatPr baseColWidth="10" defaultColWidth="9.140625" defaultRowHeight="15" x14ac:dyDescent="0.25"/>
  <cols>
    <col min="1" max="1" width="14.5703125" customWidth="1"/>
    <col min="2" max="2" width="30.28515625" customWidth="1"/>
    <col min="3" max="3" width="7.5703125" customWidth="1"/>
    <col min="4" max="4" width="14" customWidth="1"/>
    <col min="5" max="5" width="16.28515625" customWidth="1"/>
    <col min="6" max="6" width="2.28515625" customWidth="1"/>
    <col min="7" max="7" width="3" customWidth="1"/>
    <col min="8" max="8" width="22" customWidth="1"/>
    <col min="15" max="15" width="9.140625" style="44"/>
  </cols>
  <sheetData>
    <row r="1" spans="1:49" ht="18" customHeight="1" thickTop="1" thickBot="1" x14ac:dyDescent="0.3">
      <c r="A1" s="113" t="s">
        <v>0</v>
      </c>
      <c r="B1" s="113"/>
      <c r="C1" s="113"/>
      <c r="D1" s="113"/>
      <c r="E1" s="113"/>
      <c r="F1" s="41"/>
      <c r="G1" s="41"/>
      <c r="H1" s="41"/>
      <c r="I1" s="41"/>
      <c r="J1" s="41"/>
      <c r="K1" s="41"/>
      <c r="L1" s="41"/>
      <c r="M1" s="41"/>
      <c r="N1" s="41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</row>
    <row r="2" spans="1:49" ht="27" customHeight="1" thickTop="1" thickBot="1" x14ac:dyDescent="0.3">
      <c r="A2" s="113"/>
      <c r="B2" s="113"/>
      <c r="C2" s="113"/>
      <c r="D2" s="113"/>
      <c r="E2" s="113"/>
      <c r="F2" s="41"/>
      <c r="G2" s="41"/>
      <c r="H2" s="41"/>
      <c r="I2" s="41"/>
      <c r="J2" s="41"/>
      <c r="K2" s="41"/>
      <c r="L2" s="41"/>
      <c r="M2" s="41"/>
      <c r="N2" s="41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</row>
    <row r="3" spans="1:49" ht="18" hidden="1" customHeight="1" x14ac:dyDescent="0.3">
      <c r="F3" s="41"/>
      <c r="G3" s="41"/>
      <c r="H3" s="41"/>
      <c r="I3" s="41"/>
      <c r="J3" s="41"/>
      <c r="K3" s="41"/>
      <c r="L3" s="41"/>
      <c r="M3" s="41"/>
      <c r="N3" s="41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</row>
    <row r="4" spans="1:49" ht="27.95" customHeight="1" thickTop="1" thickBot="1" x14ac:dyDescent="0.3">
      <c r="A4" s="48" t="s">
        <v>1</v>
      </c>
      <c r="B4" s="112">
        <v>2</v>
      </c>
      <c r="C4" s="112"/>
      <c r="D4" s="48" t="s">
        <v>2</v>
      </c>
      <c r="E4" s="49">
        <v>46148</v>
      </c>
      <c r="F4" s="41"/>
      <c r="G4" s="41"/>
      <c r="H4" s="41"/>
      <c r="I4" s="41"/>
      <c r="J4" s="41"/>
      <c r="K4" s="41"/>
      <c r="L4" s="41"/>
      <c r="M4" s="41"/>
      <c r="N4" s="41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</row>
    <row r="5" spans="1:49" ht="18" customHeight="1" thickTop="1" thickBot="1" x14ac:dyDescent="0.3">
      <c r="A5" s="48" t="s">
        <v>3</v>
      </c>
      <c r="B5" s="111" t="s">
        <v>112</v>
      </c>
      <c r="C5" s="111"/>
      <c r="D5" s="50" t="s">
        <v>340</v>
      </c>
      <c r="E5" s="51"/>
      <c r="F5" s="42"/>
      <c r="G5" s="42"/>
      <c r="H5" s="42"/>
      <c r="I5" s="41"/>
      <c r="J5" s="41"/>
      <c r="K5" s="41"/>
      <c r="L5" s="41"/>
      <c r="M5" s="41"/>
      <c r="N5" s="41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</row>
    <row r="6" spans="1:49" ht="27.95" customHeight="1" thickTop="1" thickBot="1" x14ac:dyDescent="0.3">
      <c r="A6" s="48" t="s">
        <v>4</v>
      </c>
      <c r="B6" s="110">
        <v>37314486</v>
      </c>
      <c r="C6" s="110"/>
      <c r="D6" s="48" t="s">
        <v>5</v>
      </c>
      <c r="E6" s="52">
        <v>3167291735</v>
      </c>
      <c r="F6" s="41"/>
      <c r="G6" s="41"/>
      <c r="H6" s="41"/>
      <c r="I6" s="41"/>
      <c r="J6" s="41"/>
      <c r="K6" s="41"/>
      <c r="L6" s="41"/>
      <c r="M6" s="41"/>
      <c r="N6" s="41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</row>
    <row r="7" spans="1:49" ht="18" customHeight="1" thickTop="1" thickBot="1" x14ac:dyDescent="0.3">
      <c r="A7" s="48" t="s">
        <v>6</v>
      </c>
      <c r="B7" s="109" t="s">
        <v>113</v>
      </c>
      <c r="C7" s="109"/>
      <c r="D7" s="48" t="s">
        <v>7</v>
      </c>
      <c r="E7" s="52" t="s">
        <v>21</v>
      </c>
      <c r="F7" s="41"/>
      <c r="G7" s="41"/>
      <c r="H7" s="41"/>
      <c r="I7" s="41"/>
      <c r="J7" s="41"/>
      <c r="K7" s="41"/>
      <c r="L7" s="41"/>
      <c r="M7" s="41"/>
      <c r="N7" s="41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</row>
    <row r="8" spans="1:49" ht="24" customHeight="1" thickTop="1" thickBot="1" x14ac:dyDescent="0.3">
      <c r="A8" s="114" t="s">
        <v>8</v>
      </c>
      <c r="B8" s="114"/>
      <c r="C8" s="114"/>
      <c r="D8" s="114"/>
      <c r="E8" s="114"/>
      <c r="F8" s="41"/>
      <c r="G8" s="41"/>
      <c r="H8" s="41"/>
      <c r="I8" s="41"/>
      <c r="J8" s="41"/>
      <c r="K8" s="41"/>
      <c r="L8" s="41"/>
      <c r="M8" s="41"/>
      <c r="N8" s="41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</row>
    <row r="9" spans="1:49" ht="18" customHeight="1" thickTop="1" thickBot="1" x14ac:dyDescent="0.3">
      <c r="A9" s="53" t="s">
        <v>203</v>
      </c>
      <c r="B9" s="54" t="s">
        <v>9</v>
      </c>
      <c r="C9" s="54" t="s">
        <v>10</v>
      </c>
      <c r="D9" s="54" t="s">
        <v>11</v>
      </c>
      <c r="E9" s="54" t="s">
        <v>12</v>
      </c>
      <c r="F9" s="43"/>
      <c r="G9" s="41"/>
      <c r="H9" s="41"/>
      <c r="I9" s="41"/>
      <c r="J9" s="41"/>
      <c r="K9" s="41"/>
      <c r="L9" s="41"/>
      <c r="M9" s="41"/>
      <c r="N9" s="41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</row>
    <row r="10" spans="1:49" ht="17.25" customHeight="1" thickTop="1" thickBot="1" x14ac:dyDescent="0.3">
      <c r="A10" s="55" t="str">
        <f t="shared" ref="A10:A29" si="0">IF(B10="","",ROW()-9)</f>
        <v/>
      </c>
      <c r="B10" s="56"/>
      <c r="C10" s="57"/>
      <c r="D10" s="58"/>
      <c r="E10" s="58" t="str">
        <f t="shared" ref="E10:E28" si="1">IF(OR(C10="",D10=""),"",C10*D10)</f>
        <v/>
      </c>
      <c r="F10" s="43"/>
      <c r="G10" s="41"/>
      <c r="H10" s="41"/>
      <c r="I10" s="41"/>
      <c r="J10" s="41"/>
      <c r="K10" s="41"/>
      <c r="L10" s="41"/>
      <c r="M10" s="45"/>
      <c r="N10" s="41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</row>
    <row r="11" spans="1:49" ht="18" customHeight="1" thickTop="1" thickBot="1" x14ac:dyDescent="0.3">
      <c r="A11" s="59" t="str">
        <f t="shared" si="0"/>
        <v/>
      </c>
      <c r="B11" s="60"/>
      <c r="C11" s="61"/>
      <c r="D11" s="62"/>
      <c r="E11" s="62" t="str">
        <f t="shared" si="1"/>
        <v/>
      </c>
      <c r="F11" s="43"/>
      <c r="G11" s="41"/>
      <c r="H11" s="41"/>
      <c r="I11" s="41"/>
      <c r="J11" s="41"/>
      <c r="K11" s="41"/>
      <c r="L11" s="41"/>
      <c r="M11" s="41"/>
      <c r="N11" s="41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</row>
    <row r="12" spans="1:49" ht="17.25" customHeight="1" thickTop="1" thickBot="1" x14ac:dyDescent="0.3">
      <c r="A12" s="55" t="str">
        <f t="shared" si="0"/>
        <v/>
      </c>
      <c r="B12" s="56"/>
      <c r="C12" s="57"/>
      <c r="D12" s="58"/>
      <c r="E12" s="58" t="str">
        <f t="shared" si="1"/>
        <v/>
      </c>
      <c r="F12" s="43"/>
      <c r="G12" s="41"/>
      <c r="H12" s="41"/>
      <c r="I12" s="41"/>
      <c r="J12" s="41"/>
      <c r="K12" s="41"/>
      <c r="L12" s="41"/>
      <c r="M12" s="41"/>
      <c r="N12" s="41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</row>
    <row r="13" spans="1:49" ht="17.25" customHeight="1" thickTop="1" thickBot="1" x14ac:dyDescent="0.3">
      <c r="A13" s="59" t="str">
        <f t="shared" si="0"/>
        <v/>
      </c>
      <c r="B13" s="63"/>
      <c r="C13" s="61"/>
      <c r="D13" s="62"/>
      <c r="E13" s="62" t="str">
        <f t="shared" si="1"/>
        <v/>
      </c>
      <c r="F13" s="43"/>
      <c r="G13" s="41"/>
      <c r="H13" s="41"/>
      <c r="I13" s="41"/>
      <c r="J13" s="41"/>
      <c r="K13" s="41"/>
      <c r="L13" s="41"/>
      <c r="M13" s="41"/>
      <c r="N13" s="41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</row>
    <row r="14" spans="1:49" ht="18" customHeight="1" thickTop="1" thickBot="1" x14ac:dyDescent="0.3">
      <c r="A14" s="55" t="str">
        <f t="shared" si="0"/>
        <v/>
      </c>
      <c r="B14" s="56"/>
      <c r="C14" s="57"/>
      <c r="D14" s="58"/>
      <c r="E14" s="58" t="str">
        <f t="shared" si="1"/>
        <v/>
      </c>
      <c r="F14" s="43"/>
      <c r="G14" s="41"/>
      <c r="H14" s="46"/>
      <c r="I14" s="41"/>
      <c r="J14" s="41"/>
      <c r="K14" s="41"/>
      <c r="L14" s="41"/>
      <c r="M14" s="41"/>
      <c r="N14" s="41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</row>
    <row r="15" spans="1:49" ht="18" customHeight="1" thickTop="1" thickBot="1" x14ac:dyDescent="0.3">
      <c r="A15" s="59" t="str">
        <f t="shared" si="0"/>
        <v/>
      </c>
      <c r="B15" s="63"/>
      <c r="C15" s="61"/>
      <c r="D15" s="62"/>
      <c r="E15" s="79" t="str">
        <f t="shared" si="1"/>
        <v/>
      </c>
      <c r="F15" s="43"/>
      <c r="G15" s="41"/>
      <c r="H15" s="41"/>
      <c r="I15" s="41"/>
      <c r="J15" s="41"/>
      <c r="K15" s="41"/>
      <c r="L15" s="41"/>
      <c r="M15" s="41"/>
      <c r="N15" s="41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</row>
    <row r="16" spans="1:49" ht="18" customHeight="1" thickTop="1" thickBot="1" x14ac:dyDescent="0.3">
      <c r="A16" s="55" t="str">
        <f t="shared" si="0"/>
        <v/>
      </c>
      <c r="B16" s="56"/>
      <c r="C16" s="57"/>
      <c r="D16" s="75"/>
      <c r="E16" s="58" t="str">
        <f t="shared" si="1"/>
        <v/>
      </c>
      <c r="F16" s="40"/>
      <c r="G16" s="99"/>
      <c r="H16" s="47"/>
      <c r="I16" s="47"/>
      <c r="J16" s="47"/>
      <c r="K16" s="47"/>
      <c r="L16" s="47"/>
      <c r="M16" s="47"/>
      <c r="N16" s="99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</row>
    <row r="17" spans="1:39" ht="18" customHeight="1" thickTop="1" thickBot="1" x14ac:dyDescent="0.3">
      <c r="A17" s="59" t="str">
        <f t="shared" si="0"/>
        <v/>
      </c>
      <c r="B17" s="63"/>
      <c r="C17" s="61"/>
      <c r="D17" s="76"/>
      <c r="E17" s="62" t="str">
        <f t="shared" si="1"/>
        <v/>
      </c>
      <c r="F17" s="89"/>
      <c r="G17" s="99"/>
      <c r="H17" s="47"/>
      <c r="I17" s="47"/>
      <c r="J17" s="47"/>
      <c r="K17" s="47"/>
      <c r="L17" s="47"/>
      <c r="M17" s="47"/>
      <c r="N17" s="47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</row>
    <row r="18" spans="1:39" ht="18" customHeight="1" thickTop="1" thickBot="1" x14ac:dyDescent="0.3">
      <c r="A18" s="55" t="str">
        <f t="shared" si="0"/>
        <v/>
      </c>
      <c r="B18" s="56"/>
      <c r="C18" s="57"/>
      <c r="D18" s="75"/>
      <c r="E18" s="58" t="str">
        <f t="shared" si="1"/>
        <v/>
      </c>
      <c r="F18" s="89"/>
      <c r="G18" s="99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</row>
    <row r="19" spans="1:39" ht="18" customHeight="1" thickTop="1" thickBot="1" x14ac:dyDescent="0.3">
      <c r="A19" s="59" t="str">
        <f t="shared" si="0"/>
        <v/>
      </c>
      <c r="B19" s="63"/>
      <c r="C19" s="61"/>
      <c r="D19" s="76"/>
      <c r="E19" s="62" t="str">
        <f t="shared" si="1"/>
        <v/>
      </c>
      <c r="F19" s="40"/>
      <c r="G19" s="99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</row>
    <row r="20" spans="1:39" ht="18" customHeight="1" thickTop="1" thickBot="1" x14ac:dyDescent="0.3">
      <c r="A20" s="55" t="str">
        <f t="shared" si="0"/>
        <v/>
      </c>
      <c r="B20" s="56"/>
      <c r="C20" s="55"/>
      <c r="D20" s="75"/>
      <c r="E20" s="58" t="str">
        <f t="shared" si="1"/>
        <v/>
      </c>
      <c r="F20" s="88"/>
      <c r="G20" s="99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</row>
    <row r="21" spans="1:39" ht="18" customHeight="1" thickTop="1" thickBot="1" x14ac:dyDescent="0.3">
      <c r="A21" s="59" t="str">
        <f t="shared" si="0"/>
        <v/>
      </c>
      <c r="B21" s="63"/>
      <c r="C21" s="59"/>
      <c r="D21" s="76"/>
      <c r="E21" s="62" t="str">
        <f t="shared" si="1"/>
        <v/>
      </c>
      <c r="F21" s="88"/>
      <c r="G21" s="99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</row>
    <row r="22" spans="1:39" ht="18" customHeight="1" thickTop="1" thickBot="1" x14ac:dyDescent="0.3">
      <c r="A22" s="64" t="str">
        <f t="shared" si="0"/>
        <v/>
      </c>
      <c r="B22" s="56"/>
      <c r="C22" s="57"/>
      <c r="D22" s="75"/>
      <c r="E22" s="58" t="str">
        <f t="shared" si="1"/>
        <v/>
      </c>
      <c r="F22" s="91"/>
      <c r="G22" s="99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</row>
    <row r="23" spans="1:39" ht="18" customHeight="1" thickTop="1" thickBot="1" x14ac:dyDescent="0.3">
      <c r="A23" s="59" t="str">
        <f t="shared" si="0"/>
        <v/>
      </c>
      <c r="B23" s="63"/>
      <c r="C23" s="61"/>
      <c r="D23" s="76"/>
      <c r="E23" s="62" t="str">
        <f t="shared" si="1"/>
        <v/>
      </c>
      <c r="G23" s="99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</row>
    <row r="24" spans="1:39" ht="18" customHeight="1" thickTop="1" thickBot="1" x14ac:dyDescent="0.3">
      <c r="A24" s="64" t="str">
        <f t="shared" si="0"/>
        <v/>
      </c>
      <c r="B24" s="56"/>
      <c r="C24" s="57"/>
      <c r="D24" s="75"/>
      <c r="E24" s="58" t="str">
        <f t="shared" si="1"/>
        <v/>
      </c>
      <c r="F24" s="90"/>
      <c r="G24" s="99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</row>
    <row r="25" spans="1:39" ht="18" customHeight="1" thickTop="1" thickBot="1" x14ac:dyDescent="0.3">
      <c r="A25" s="65" t="str">
        <f t="shared" si="0"/>
        <v/>
      </c>
      <c r="B25" s="63"/>
      <c r="C25" s="61"/>
      <c r="D25" s="76"/>
      <c r="E25" s="62" t="str">
        <f t="shared" si="1"/>
        <v/>
      </c>
      <c r="F25" s="91"/>
      <c r="G25" s="99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</row>
    <row r="26" spans="1:39" ht="16.5" thickTop="1" thickBot="1" x14ac:dyDescent="0.3">
      <c r="A26" s="64" t="str">
        <f t="shared" si="0"/>
        <v/>
      </c>
      <c r="B26" s="56"/>
      <c r="C26" s="57"/>
      <c r="D26" s="75"/>
      <c r="E26" s="58" t="str">
        <f t="shared" si="1"/>
        <v/>
      </c>
      <c r="G26" s="99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</row>
    <row r="27" spans="1:39" ht="16.5" thickTop="1" thickBot="1" x14ac:dyDescent="0.3">
      <c r="A27" s="66" t="str">
        <f t="shared" si="0"/>
        <v/>
      </c>
      <c r="B27" s="67"/>
      <c r="C27" s="68"/>
      <c r="D27" s="77"/>
      <c r="E27" s="69" t="str">
        <f t="shared" si="1"/>
        <v/>
      </c>
      <c r="F27" s="90"/>
      <c r="G27" s="99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</row>
    <row r="28" spans="1:39" ht="16.5" thickTop="1" thickBot="1" x14ac:dyDescent="0.3">
      <c r="A28" s="80" t="str">
        <f t="shared" si="0"/>
        <v/>
      </c>
      <c r="B28" s="70"/>
      <c r="C28" s="81"/>
      <c r="D28" s="82"/>
      <c r="E28" s="58" t="str">
        <f t="shared" si="1"/>
        <v/>
      </c>
      <c r="F28" s="90"/>
      <c r="G28" s="99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</row>
    <row r="29" spans="1:39" ht="16.5" thickTop="1" thickBot="1" x14ac:dyDescent="0.3">
      <c r="A29" s="102" t="str">
        <f t="shared" si="0"/>
        <v/>
      </c>
      <c r="B29" s="93"/>
      <c r="C29" s="101"/>
      <c r="D29" s="85" t="s">
        <v>12</v>
      </c>
      <c r="E29" s="72">
        <f>SUM(E10:E28)</f>
        <v>0</v>
      </c>
      <c r="F29" s="90"/>
      <c r="G29" s="99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</row>
    <row r="30" spans="1:39" ht="16.5" thickTop="1" thickBot="1" x14ac:dyDescent="0.3">
      <c r="A30" s="94"/>
      <c r="B30" s="94"/>
      <c r="C30" s="95"/>
      <c r="D30" s="78" t="s">
        <v>349</v>
      </c>
      <c r="E30" s="73">
        <f>IF(E29&gt;524000,ROUND(E29*0.035,0),0)</f>
        <v>0</v>
      </c>
      <c r="F30" s="90"/>
      <c r="G30" s="99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</row>
    <row r="31" spans="1:39" ht="16.5" thickTop="1" thickBot="1" x14ac:dyDescent="0.3">
      <c r="A31" s="94"/>
      <c r="B31" s="94"/>
      <c r="C31" s="95"/>
      <c r="D31" s="78" t="s">
        <v>348</v>
      </c>
      <c r="E31" s="74">
        <f>E29-E30</f>
        <v>0</v>
      </c>
      <c r="F31" s="90"/>
      <c r="G31" s="99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</row>
    <row r="32" spans="1:39" ht="16.5" thickTop="1" thickBot="1" x14ac:dyDescent="0.3">
      <c r="A32" s="87"/>
      <c r="B32" s="87"/>
      <c r="C32" s="47"/>
      <c r="D32" s="96"/>
      <c r="E32" s="84"/>
      <c r="F32" s="92"/>
      <c r="G32" s="100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</row>
    <row r="33" spans="1:39" ht="16.5" thickTop="1" thickBot="1" x14ac:dyDescent="0.3">
      <c r="A33" s="47"/>
      <c r="B33" s="47"/>
      <c r="C33" s="47"/>
      <c r="D33" s="47"/>
      <c r="E33" s="47"/>
      <c r="F33" s="47"/>
      <c r="G33" s="99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</row>
    <row r="34" spans="1:39" ht="16.5" thickTop="1" thickBot="1" x14ac:dyDescent="0.3">
      <c r="A34" s="47"/>
      <c r="B34" s="47"/>
      <c r="C34" s="47"/>
      <c r="D34" s="47"/>
      <c r="E34" s="47"/>
      <c r="F34" s="47"/>
      <c r="G34" s="99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</row>
    <row r="35" spans="1:39" ht="16.5" thickTop="1" thickBot="1" x14ac:dyDescent="0.3">
      <c r="A35" s="97"/>
      <c r="B35" s="97"/>
      <c r="C35" s="97"/>
      <c r="D35" s="97"/>
      <c r="E35" s="97"/>
      <c r="F35" s="97"/>
      <c r="G35" s="100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</row>
    <row r="36" spans="1:39" ht="16.5" thickTop="1" thickBot="1" x14ac:dyDescent="0.3">
      <c r="A36" s="47"/>
      <c r="B36" s="47"/>
      <c r="C36" s="47"/>
      <c r="D36" s="47"/>
      <c r="E36" s="47"/>
      <c r="F36" s="47"/>
      <c r="G36" s="99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</row>
    <row r="37" spans="1:39" ht="16.5" thickTop="1" thickBot="1" x14ac:dyDescent="0.3">
      <c r="A37" s="47"/>
      <c r="B37" s="47"/>
      <c r="C37" s="47"/>
      <c r="D37" s="47"/>
      <c r="E37" s="47"/>
      <c r="F37" s="47"/>
      <c r="G37" s="99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</row>
    <row r="38" spans="1:39" ht="16.5" thickTop="1" thickBot="1" x14ac:dyDescent="0.3">
      <c r="A38" s="47"/>
      <c r="B38" s="47"/>
      <c r="C38" s="47"/>
      <c r="D38" s="47"/>
      <c r="E38" s="47"/>
      <c r="F38" s="47"/>
      <c r="G38" s="99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</row>
    <row r="39" spans="1:39" ht="16.5" thickTop="1" thickBot="1" x14ac:dyDescent="0.3">
      <c r="A39" s="47"/>
      <c r="B39" s="47"/>
      <c r="C39" s="47"/>
      <c r="D39" s="47"/>
      <c r="E39" s="47"/>
      <c r="F39" s="47"/>
      <c r="G39" s="99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</row>
    <row r="40" spans="1:39" ht="16.5" thickTop="1" thickBot="1" x14ac:dyDescent="0.3">
      <c r="A40" s="47"/>
      <c r="B40" s="47"/>
      <c r="C40" s="47"/>
      <c r="D40" s="47"/>
      <c r="E40" s="47"/>
      <c r="F40" s="47"/>
      <c r="G40" s="99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</row>
    <row r="41" spans="1:39" ht="16.5" thickTop="1" thickBot="1" x14ac:dyDescent="0.3">
      <c r="A41" s="47"/>
      <c r="B41" s="47"/>
      <c r="C41" s="47"/>
      <c r="D41" s="47"/>
      <c r="E41" s="47"/>
      <c r="F41" s="47"/>
      <c r="G41" s="99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</row>
    <row r="42" spans="1:39" ht="16.5" thickTop="1" thickBot="1" x14ac:dyDescent="0.3">
      <c r="A42" s="47"/>
      <c r="B42" s="47"/>
      <c r="C42" s="47"/>
      <c r="D42" s="47"/>
      <c r="E42" s="47"/>
      <c r="F42" s="47"/>
      <c r="G42" s="99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</row>
    <row r="43" spans="1:39" ht="16.5" thickTop="1" thickBot="1" x14ac:dyDescent="0.3">
      <c r="A43" s="47"/>
      <c r="B43" s="47"/>
      <c r="C43" s="47"/>
      <c r="D43" s="47"/>
      <c r="E43" s="47"/>
      <c r="F43" s="47"/>
      <c r="G43" s="99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</row>
    <row r="44" spans="1:39" ht="16.5" thickTop="1" thickBot="1" x14ac:dyDescent="0.3">
      <c r="A44" s="47"/>
      <c r="B44" s="47"/>
      <c r="C44" s="47"/>
      <c r="D44" s="47"/>
      <c r="E44" s="47"/>
      <c r="F44" s="47"/>
      <c r="G44" s="99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</row>
    <row r="45" spans="1:39" ht="16.5" thickTop="1" thickBot="1" x14ac:dyDescent="0.3">
      <c r="A45" s="47"/>
      <c r="B45" s="47"/>
      <c r="C45" s="47"/>
      <c r="D45" s="47"/>
      <c r="E45" s="47"/>
      <c r="F45" s="47"/>
      <c r="G45" s="99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</row>
    <row r="46" spans="1:39" ht="16.5" thickTop="1" thickBot="1" x14ac:dyDescent="0.3">
      <c r="A46" s="47"/>
      <c r="B46" s="47"/>
      <c r="C46" s="47"/>
      <c r="D46" s="47"/>
      <c r="E46" s="47"/>
      <c r="F46" s="47"/>
      <c r="G46" s="99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</row>
    <row r="47" spans="1:39" ht="16.5" thickTop="1" thickBot="1" x14ac:dyDescent="0.3">
      <c r="A47" s="47"/>
      <c r="B47" s="47"/>
      <c r="C47" s="47"/>
      <c r="D47" s="47"/>
      <c r="E47" s="47"/>
      <c r="F47" s="47"/>
      <c r="G47" s="99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</row>
    <row r="48" spans="1:39" ht="16.5" thickTop="1" thickBot="1" x14ac:dyDescent="0.3">
      <c r="A48" s="47"/>
      <c r="B48" s="47"/>
      <c r="C48" s="47"/>
      <c r="D48" s="47"/>
      <c r="E48" s="47"/>
      <c r="F48" s="47"/>
      <c r="G48" s="99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</row>
    <row r="49" spans="1:39" ht="16.5" thickTop="1" thickBot="1" x14ac:dyDescent="0.3">
      <c r="A49" s="47"/>
      <c r="B49" s="47"/>
      <c r="C49" s="47"/>
      <c r="D49" s="47"/>
      <c r="E49" s="47"/>
      <c r="F49" s="47"/>
      <c r="G49" s="99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</row>
    <row r="50" spans="1:39" ht="16.5" thickTop="1" thickBot="1" x14ac:dyDescent="0.3">
      <c r="A50" s="47"/>
      <c r="B50" s="47"/>
      <c r="C50" s="47"/>
      <c r="D50" s="47"/>
      <c r="E50" s="47"/>
      <c r="F50" s="47"/>
      <c r="G50" s="99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</row>
    <row r="51" spans="1:39" ht="16.5" thickTop="1" thickBot="1" x14ac:dyDescent="0.3">
      <c r="A51" s="47"/>
      <c r="B51" s="47"/>
      <c r="C51" s="47"/>
      <c r="D51" s="47"/>
      <c r="E51" s="47"/>
      <c r="F51" s="47"/>
      <c r="G51" s="99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</row>
    <row r="52" spans="1:39" ht="16.5" thickTop="1" thickBot="1" x14ac:dyDescent="0.3">
      <c r="A52" s="47"/>
      <c r="B52" s="47"/>
      <c r="C52" s="47"/>
      <c r="D52" s="47"/>
      <c r="E52" s="47"/>
      <c r="F52" s="47"/>
      <c r="G52" s="99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</row>
    <row r="53" spans="1:39" ht="16.5" thickTop="1" thickBot="1" x14ac:dyDescent="0.3">
      <c r="A53" s="47"/>
      <c r="B53" s="47"/>
      <c r="C53" s="47"/>
      <c r="D53" s="47"/>
      <c r="E53" s="47"/>
      <c r="F53" s="47"/>
      <c r="G53" s="99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</row>
    <row r="54" spans="1:39" ht="16.5" thickTop="1" thickBot="1" x14ac:dyDescent="0.3">
      <c r="A54" s="47"/>
      <c r="B54" s="47"/>
      <c r="C54" s="47"/>
      <c r="D54" s="47"/>
      <c r="E54" s="47"/>
      <c r="F54" s="47"/>
      <c r="G54" s="99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</row>
    <row r="55" spans="1:39" ht="16.5" thickTop="1" thickBot="1" x14ac:dyDescent="0.3">
      <c r="A55" s="47"/>
      <c r="B55" s="47"/>
      <c r="C55" s="47"/>
      <c r="D55" s="47"/>
      <c r="E55" s="47"/>
      <c r="F55" s="47"/>
      <c r="G55" s="99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</row>
    <row r="56" spans="1:39" ht="16.5" thickTop="1" thickBot="1" x14ac:dyDescent="0.3">
      <c r="A56" s="47"/>
      <c r="B56" s="47"/>
      <c r="C56" s="47"/>
      <c r="D56" s="47"/>
      <c r="E56" s="47"/>
      <c r="F56" s="47"/>
      <c r="G56" s="99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</row>
    <row r="57" spans="1:39" ht="16.5" thickTop="1" thickBot="1" x14ac:dyDescent="0.3">
      <c r="A57" s="47"/>
      <c r="B57" s="47"/>
      <c r="C57" s="47"/>
      <c r="D57" s="47"/>
      <c r="E57" s="47"/>
      <c r="F57" s="47"/>
      <c r="G57" s="99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</row>
    <row r="58" spans="1:39" ht="16.5" thickTop="1" thickBot="1" x14ac:dyDescent="0.3">
      <c r="A58" s="47"/>
      <c r="B58" s="47"/>
      <c r="C58" s="47"/>
      <c r="D58" s="47"/>
      <c r="E58" s="47"/>
      <c r="F58" s="47"/>
      <c r="G58" s="99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</row>
    <row r="59" spans="1:39" ht="16.5" thickTop="1" thickBot="1" x14ac:dyDescent="0.3">
      <c r="A59" s="47"/>
      <c r="B59" s="47"/>
      <c r="C59" s="47"/>
      <c r="D59" s="47"/>
      <c r="E59" s="47"/>
      <c r="F59" s="47"/>
      <c r="G59" s="99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</row>
    <row r="60" spans="1:39" ht="16.5" thickTop="1" thickBot="1" x14ac:dyDescent="0.3">
      <c r="A60" s="47"/>
      <c r="B60" s="47"/>
      <c r="C60" s="47"/>
      <c r="D60" s="47"/>
      <c r="E60" s="47"/>
      <c r="F60" s="47"/>
      <c r="G60" s="99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</row>
    <row r="61" spans="1:39" ht="16.5" thickTop="1" thickBot="1" x14ac:dyDescent="0.3">
      <c r="A61" s="47"/>
      <c r="B61" s="47"/>
      <c r="C61" s="47"/>
      <c r="D61" s="47"/>
      <c r="E61" s="47"/>
      <c r="F61" s="47"/>
      <c r="G61" s="99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</row>
    <row r="62" spans="1:39" ht="16.5" thickTop="1" thickBot="1" x14ac:dyDescent="0.3">
      <c r="A62" s="47"/>
      <c r="B62" s="47"/>
      <c r="C62" s="47"/>
      <c r="D62" s="47"/>
      <c r="E62" s="47"/>
      <c r="F62" s="47"/>
      <c r="G62" s="99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</row>
    <row r="63" spans="1:39" ht="16.5" thickTop="1" thickBot="1" x14ac:dyDescent="0.3">
      <c r="A63" s="47"/>
      <c r="B63" s="47"/>
      <c r="C63" s="47"/>
      <c r="D63" s="47"/>
      <c r="E63" s="47"/>
      <c r="F63" s="47"/>
      <c r="G63" s="99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</row>
    <row r="64" spans="1:39" ht="16.5" thickTop="1" thickBot="1" x14ac:dyDescent="0.3">
      <c r="A64" s="47"/>
      <c r="B64" s="47"/>
      <c r="C64" s="47"/>
      <c r="D64" s="47"/>
      <c r="E64" s="47"/>
      <c r="F64" s="47"/>
      <c r="G64" s="99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</row>
    <row r="65" spans="1:39" ht="16.5" thickTop="1" thickBot="1" x14ac:dyDescent="0.3">
      <c r="A65" s="47"/>
      <c r="B65" s="47"/>
      <c r="C65" s="47"/>
      <c r="D65" s="47"/>
      <c r="E65" s="47"/>
      <c r="F65" s="47"/>
      <c r="G65" s="99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</row>
    <row r="66" spans="1:39" ht="16.5" thickTop="1" thickBot="1" x14ac:dyDescent="0.3">
      <c r="A66" s="47"/>
      <c r="B66" s="47"/>
      <c r="C66" s="47"/>
      <c r="D66" s="47"/>
      <c r="E66" s="47"/>
      <c r="F66" s="47"/>
      <c r="G66" s="99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</row>
    <row r="67" spans="1:39" ht="16.5" thickTop="1" thickBot="1" x14ac:dyDescent="0.3">
      <c r="A67" s="47"/>
      <c r="B67" s="47"/>
      <c r="C67" s="47"/>
      <c r="D67" s="47"/>
      <c r="E67" s="47"/>
      <c r="F67" s="47"/>
      <c r="G67" s="99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</row>
    <row r="68" spans="1:39" ht="16.5" thickTop="1" thickBot="1" x14ac:dyDescent="0.3">
      <c r="A68" s="47"/>
      <c r="B68" s="47"/>
      <c r="C68" s="47"/>
      <c r="D68" s="47"/>
      <c r="E68" s="47"/>
      <c r="F68" s="47"/>
      <c r="G68" s="99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</row>
    <row r="69" spans="1:39" ht="16.5" thickTop="1" thickBot="1" x14ac:dyDescent="0.3">
      <c r="A69" s="47"/>
      <c r="B69" s="47"/>
      <c r="C69" s="47"/>
      <c r="D69" s="47"/>
      <c r="E69" s="47"/>
      <c r="F69" s="47"/>
      <c r="G69" s="99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</row>
    <row r="70" spans="1:39" ht="16.5" thickTop="1" thickBot="1" x14ac:dyDescent="0.3">
      <c r="A70" s="47"/>
      <c r="B70" s="47"/>
      <c r="C70" s="47"/>
      <c r="D70" s="47"/>
      <c r="E70" s="47"/>
      <c r="F70" s="47"/>
      <c r="G70" s="99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</row>
    <row r="71" spans="1:39" ht="16.5" thickTop="1" thickBot="1" x14ac:dyDescent="0.3">
      <c r="A71" s="47"/>
      <c r="B71" s="47"/>
      <c r="C71" s="47"/>
      <c r="D71" s="47"/>
      <c r="E71" s="47"/>
      <c r="F71" s="47"/>
      <c r="G71" s="99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</row>
    <row r="72" spans="1:39" ht="16.5" thickTop="1" thickBot="1" x14ac:dyDescent="0.3">
      <c r="A72" s="47"/>
      <c r="B72" s="47"/>
      <c r="C72" s="47"/>
      <c r="D72" s="47"/>
      <c r="E72" s="47"/>
      <c r="F72" s="47"/>
      <c r="G72" s="99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</row>
    <row r="73" spans="1:39" ht="16.5" thickTop="1" thickBot="1" x14ac:dyDescent="0.3">
      <c r="A73" s="47"/>
      <c r="B73" s="47"/>
      <c r="C73" s="47"/>
      <c r="D73" s="47"/>
      <c r="E73" s="47"/>
      <c r="F73" s="47"/>
      <c r="G73" s="99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</row>
    <row r="74" spans="1:39" ht="16.5" thickTop="1" thickBot="1" x14ac:dyDescent="0.3">
      <c r="A74" s="47"/>
      <c r="B74" s="47"/>
      <c r="C74" s="47"/>
      <c r="D74" s="47"/>
      <c r="E74" s="47"/>
      <c r="F74" s="47"/>
      <c r="G74" s="99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</row>
    <row r="75" spans="1:39" ht="16.5" thickTop="1" thickBot="1" x14ac:dyDescent="0.3">
      <c r="A75" s="47"/>
      <c r="B75" s="47"/>
      <c r="C75" s="47"/>
      <c r="D75" s="47"/>
      <c r="E75" s="47"/>
      <c r="F75" s="47"/>
      <c r="G75" s="99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</row>
    <row r="76" spans="1:39" ht="16.5" thickTop="1" thickBot="1" x14ac:dyDescent="0.3">
      <c r="A76" s="47"/>
      <c r="B76" s="47"/>
      <c r="C76" s="47"/>
      <c r="D76" s="47"/>
      <c r="E76" s="47"/>
      <c r="F76" s="47"/>
      <c r="G76" s="99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</row>
    <row r="77" spans="1:39" ht="16.5" thickTop="1" thickBot="1" x14ac:dyDescent="0.3">
      <c r="A77" s="47"/>
      <c r="B77" s="47"/>
      <c r="C77" s="47"/>
      <c r="D77" s="47"/>
      <c r="E77" s="47"/>
      <c r="F77" s="47"/>
      <c r="G77" s="99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</row>
    <row r="78" spans="1:39" ht="16.5" thickTop="1" thickBot="1" x14ac:dyDescent="0.3">
      <c r="A78" s="8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</row>
    <row r="79" spans="1:39" ht="16.5" thickTop="1" thickBot="1" x14ac:dyDescent="0.3">
      <c r="A79" s="8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</row>
    <row r="80" spans="1:39" ht="16.5" thickTop="1" thickBot="1" x14ac:dyDescent="0.3">
      <c r="A80" s="8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</row>
    <row r="81" spans="1:39" ht="16.5" thickTop="1" thickBot="1" x14ac:dyDescent="0.3">
      <c r="A81" s="8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</row>
    <row r="82" spans="1:39" ht="16.5" thickTop="1" thickBot="1" x14ac:dyDescent="0.3">
      <c r="A82" s="8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</row>
    <row r="83" spans="1:39" ht="16.5" thickTop="1" thickBot="1" x14ac:dyDescent="0.3">
      <c r="A83" s="8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</row>
    <row r="84" spans="1:39" ht="16.5" thickTop="1" thickBot="1" x14ac:dyDescent="0.3">
      <c r="A84" s="8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</row>
    <row r="85" spans="1:39" ht="16.5" thickTop="1" thickBot="1" x14ac:dyDescent="0.3">
      <c r="A85" s="8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</row>
    <row r="86" spans="1:39" ht="16.5" thickTop="1" thickBot="1" x14ac:dyDescent="0.3">
      <c r="A86" s="8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</row>
    <row r="87" spans="1:39" ht="16.5" thickTop="1" thickBot="1" x14ac:dyDescent="0.3">
      <c r="A87" s="8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</row>
    <row r="88" spans="1:39" ht="16.5" thickTop="1" thickBot="1" x14ac:dyDescent="0.3">
      <c r="A88" s="8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</row>
    <row r="89" spans="1:39" ht="16.5" thickTop="1" thickBot="1" x14ac:dyDescent="0.3">
      <c r="A89" s="8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</row>
    <row r="90" spans="1:39" ht="16.5" thickTop="1" thickBot="1" x14ac:dyDescent="0.3">
      <c r="A90" s="8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</row>
    <row r="91" spans="1:39" ht="16.5" thickTop="1" thickBot="1" x14ac:dyDescent="0.3">
      <c r="A91" s="8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</row>
    <row r="92" spans="1:39" ht="16.5" thickTop="1" thickBot="1" x14ac:dyDescent="0.3">
      <c r="A92" s="8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</row>
    <row r="93" spans="1:39" ht="16.5" thickTop="1" thickBot="1" x14ac:dyDescent="0.3">
      <c r="A93" s="8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</row>
    <row r="94" spans="1:39" ht="16.5" thickTop="1" thickBot="1" x14ac:dyDescent="0.3">
      <c r="A94" s="8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</row>
    <row r="95" spans="1:39" ht="16.5" thickTop="1" thickBot="1" x14ac:dyDescent="0.3">
      <c r="A95" s="8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</row>
    <row r="96" spans="1:39" ht="16.5" thickTop="1" thickBot="1" x14ac:dyDescent="0.3">
      <c r="A96" s="8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</row>
    <row r="97" spans="1:39" ht="16.5" thickTop="1" thickBot="1" x14ac:dyDescent="0.3">
      <c r="A97" s="8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</row>
    <row r="98" spans="1:39" ht="16.5" thickTop="1" thickBot="1" x14ac:dyDescent="0.3">
      <c r="A98" s="8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</row>
    <row r="99" spans="1:39" ht="16.5" thickTop="1" thickBot="1" x14ac:dyDescent="0.3">
      <c r="A99" s="8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</row>
    <row r="100" spans="1:39" ht="16.5" thickTop="1" thickBot="1" x14ac:dyDescent="0.3">
      <c r="A100" s="8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</row>
    <row r="101" spans="1:39" ht="16.5" thickTop="1" thickBot="1" x14ac:dyDescent="0.3">
      <c r="A101" s="8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</row>
    <row r="102" spans="1:39" ht="16.5" thickTop="1" thickBot="1" x14ac:dyDescent="0.3">
      <c r="A102" s="8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</row>
    <row r="103" spans="1:39" ht="16.5" thickTop="1" thickBot="1" x14ac:dyDescent="0.3">
      <c r="A103" s="8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</row>
    <row r="104" spans="1:39" ht="16.5" thickTop="1" thickBot="1" x14ac:dyDescent="0.3">
      <c r="A104" s="8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</row>
    <row r="105" spans="1:39" ht="16.5" thickTop="1" thickBot="1" x14ac:dyDescent="0.3">
      <c r="A105" s="8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</row>
    <row r="106" spans="1:39" ht="16.5" thickTop="1" thickBot="1" x14ac:dyDescent="0.3">
      <c r="A106" s="8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</row>
    <row r="107" spans="1:39" ht="16.5" thickTop="1" thickBot="1" x14ac:dyDescent="0.3">
      <c r="A107" s="8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</row>
    <row r="108" spans="1:39" ht="16.5" thickTop="1" thickBot="1" x14ac:dyDescent="0.3">
      <c r="A108" s="8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</row>
    <row r="109" spans="1:39" ht="16.5" thickTop="1" thickBot="1" x14ac:dyDescent="0.3">
      <c r="A109" s="8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</row>
    <row r="110" spans="1:39" ht="16.5" thickTop="1" thickBot="1" x14ac:dyDescent="0.3">
      <c r="A110" s="8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</row>
    <row r="111" spans="1:39" ht="16.5" thickTop="1" thickBot="1" x14ac:dyDescent="0.3">
      <c r="A111" s="8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</row>
    <row r="112" spans="1:39" ht="16.5" thickTop="1" thickBot="1" x14ac:dyDescent="0.3">
      <c r="A112" s="8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</row>
    <row r="113" spans="1:39" ht="16.5" thickTop="1" thickBot="1" x14ac:dyDescent="0.3">
      <c r="A113" s="8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</row>
    <row r="114" spans="1:39" ht="16.5" thickTop="1" thickBot="1" x14ac:dyDescent="0.3">
      <c r="A114" s="8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</row>
    <row r="115" spans="1:39" ht="16.5" thickTop="1" thickBot="1" x14ac:dyDescent="0.3">
      <c r="A115" s="8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</row>
    <row r="116" spans="1:39" ht="16.5" thickTop="1" thickBot="1" x14ac:dyDescent="0.3">
      <c r="A116" s="8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</row>
    <row r="117" spans="1:39" ht="16.5" thickTop="1" thickBot="1" x14ac:dyDescent="0.3">
      <c r="A117" s="8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</row>
    <row r="118" spans="1:39" ht="16.5" thickTop="1" thickBot="1" x14ac:dyDescent="0.3">
      <c r="A118" s="8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</row>
    <row r="119" spans="1:39" ht="16.5" thickTop="1" thickBot="1" x14ac:dyDescent="0.3">
      <c r="A119" s="8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</row>
    <row r="120" spans="1:39" ht="16.5" thickTop="1" thickBot="1" x14ac:dyDescent="0.3">
      <c r="A120" s="8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</row>
    <row r="121" spans="1:39" ht="16.5" thickTop="1" thickBot="1" x14ac:dyDescent="0.3">
      <c r="A121" s="8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</row>
    <row r="122" spans="1:39" ht="16.5" thickTop="1" thickBot="1" x14ac:dyDescent="0.3">
      <c r="A122" s="8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</row>
    <row r="123" spans="1:39" ht="16.5" thickTop="1" thickBot="1" x14ac:dyDescent="0.3">
      <c r="A123" s="8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</row>
    <row r="124" spans="1:39" ht="16.5" thickTop="1" thickBot="1" x14ac:dyDescent="0.3">
      <c r="A124" s="8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</row>
    <row r="125" spans="1:39" ht="16.5" thickTop="1" thickBot="1" x14ac:dyDescent="0.3">
      <c r="A125" s="8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</row>
    <row r="126" spans="1:39" ht="16.5" thickTop="1" thickBot="1" x14ac:dyDescent="0.3">
      <c r="A126" s="8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</row>
    <row r="127" spans="1:39" ht="16.5" thickTop="1" thickBot="1" x14ac:dyDescent="0.3">
      <c r="A127" s="8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</row>
    <row r="128" spans="1:39" ht="16.5" thickTop="1" thickBot="1" x14ac:dyDescent="0.3">
      <c r="A128" s="8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</row>
    <row r="129" spans="1:39" ht="16.5" thickTop="1" thickBot="1" x14ac:dyDescent="0.3">
      <c r="A129" s="8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</row>
    <row r="130" spans="1:39" ht="16.5" thickTop="1" thickBot="1" x14ac:dyDescent="0.3">
      <c r="A130" s="8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</row>
    <row r="131" spans="1:39" ht="16.5" thickTop="1" thickBot="1" x14ac:dyDescent="0.3">
      <c r="A131" s="8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</row>
    <row r="132" spans="1:39" ht="16.5" thickTop="1" thickBot="1" x14ac:dyDescent="0.3">
      <c r="A132" s="8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  <c r="AM132" s="47"/>
    </row>
    <row r="133" spans="1:39" ht="16.5" thickTop="1" thickBot="1" x14ac:dyDescent="0.3">
      <c r="A133" s="8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47"/>
    </row>
    <row r="134" spans="1:39" ht="16.5" thickTop="1" thickBot="1" x14ac:dyDescent="0.3">
      <c r="A134" s="8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</row>
    <row r="135" spans="1:39" ht="16.5" thickTop="1" thickBot="1" x14ac:dyDescent="0.3">
      <c r="A135" s="8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</row>
    <row r="136" spans="1:39" ht="16.5" thickTop="1" thickBot="1" x14ac:dyDescent="0.3">
      <c r="A136" s="8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</row>
    <row r="137" spans="1:39" ht="16.5" thickTop="1" thickBot="1" x14ac:dyDescent="0.3">
      <c r="A137" s="8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  <c r="AM137" s="47"/>
    </row>
    <row r="138" spans="1:39" ht="16.5" thickTop="1" thickBot="1" x14ac:dyDescent="0.3">
      <c r="A138" s="8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  <c r="AM138" s="47"/>
    </row>
    <row r="139" spans="1:39" ht="16.5" thickTop="1" thickBot="1" x14ac:dyDescent="0.3">
      <c r="A139" s="8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  <c r="AM139" s="47"/>
    </row>
    <row r="140" spans="1:39" ht="16.5" thickTop="1" thickBot="1" x14ac:dyDescent="0.3">
      <c r="A140" s="8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47"/>
    </row>
    <row r="141" spans="1:39" ht="16.5" thickTop="1" thickBot="1" x14ac:dyDescent="0.3">
      <c r="A141" s="8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</row>
    <row r="142" spans="1:39" ht="16.5" thickTop="1" thickBot="1" x14ac:dyDescent="0.3">
      <c r="A142" s="8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</row>
    <row r="143" spans="1:39" ht="16.5" thickTop="1" thickBot="1" x14ac:dyDescent="0.3">
      <c r="A143" s="8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</row>
    <row r="144" spans="1:39" ht="16.5" thickTop="1" thickBot="1" x14ac:dyDescent="0.3">
      <c r="A144" s="8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</row>
    <row r="145" spans="1:39" ht="16.5" thickTop="1" thickBot="1" x14ac:dyDescent="0.3">
      <c r="A145" s="8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</row>
    <row r="146" spans="1:39" ht="16.5" thickTop="1" thickBot="1" x14ac:dyDescent="0.3">
      <c r="A146" s="8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</row>
    <row r="147" spans="1:39" ht="16.5" thickTop="1" thickBot="1" x14ac:dyDescent="0.3">
      <c r="A147" s="8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</row>
    <row r="148" spans="1:39" ht="16.5" thickTop="1" thickBot="1" x14ac:dyDescent="0.3">
      <c r="A148" s="8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</row>
    <row r="149" spans="1:39" ht="16.5" thickTop="1" thickBot="1" x14ac:dyDescent="0.3">
      <c r="A149" s="8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</row>
    <row r="150" spans="1:39" ht="16.5" thickTop="1" thickBot="1" x14ac:dyDescent="0.3">
      <c r="A150" s="8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</row>
    <row r="151" spans="1:39" ht="16.5" thickTop="1" thickBot="1" x14ac:dyDescent="0.3">
      <c r="A151" s="8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  <c r="AM151" s="47"/>
    </row>
    <row r="152" spans="1:39" ht="16.5" thickTop="1" thickBot="1" x14ac:dyDescent="0.3">
      <c r="A152" s="8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47"/>
    </row>
    <row r="153" spans="1:39" ht="16.5" thickTop="1" thickBot="1" x14ac:dyDescent="0.3">
      <c r="A153" s="8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  <c r="AM153" s="47"/>
    </row>
    <row r="154" spans="1:39" ht="16.5" thickTop="1" thickBot="1" x14ac:dyDescent="0.3">
      <c r="A154" s="8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  <c r="AM154" s="47"/>
    </row>
    <row r="155" spans="1:39" ht="16.5" thickTop="1" thickBot="1" x14ac:dyDescent="0.3">
      <c r="A155" s="8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  <c r="AM155" s="47"/>
    </row>
    <row r="156" spans="1:39" ht="16.5" thickTop="1" thickBot="1" x14ac:dyDescent="0.3">
      <c r="A156" s="8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  <c r="AM156" s="47"/>
    </row>
    <row r="157" spans="1:39" ht="16.5" thickTop="1" thickBot="1" x14ac:dyDescent="0.3">
      <c r="A157" s="8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  <c r="AM157" s="47"/>
    </row>
    <row r="158" spans="1:39" ht="16.5" thickTop="1" thickBot="1" x14ac:dyDescent="0.3">
      <c r="A158" s="8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</row>
    <row r="159" spans="1:39" ht="16.5" thickTop="1" thickBot="1" x14ac:dyDescent="0.3">
      <c r="A159" s="8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</row>
    <row r="160" spans="1:39" ht="16.5" thickTop="1" thickBot="1" x14ac:dyDescent="0.3">
      <c r="A160" s="8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</row>
    <row r="161" spans="1:39" ht="16.5" thickTop="1" thickBot="1" x14ac:dyDescent="0.3">
      <c r="A161" s="8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  <c r="AM161" s="47"/>
    </row>
    <row r="162" spans="1:39" ht="16.5" thickTop="1" thickBot="1" x14ac:dyDescent="0.3">
      <c r="A162" s="8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  <c r="AM162" s="47"/>
    </row>
    <row r="163" spans="1:39" ht="16.5" thickTop="1" thickBot="1" x14ac:dyDescent="0.3">
      <c r="A163" s="8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  <c r="AM163" s="47"/>
    </row>
    <row r="164" spans="1:39" ht="16.5" thickTop="1" thickBot="1" x14ac:dyDescent="0.3">
      <c r="A164" s="8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  <c r="AM164" s="47"/>
    </row>
    <row r="165" spans="1:39" ht="16.5" thickTop="1" thickBot="1" x14ac:dyDescent="0.3">
      <c r="A165" s="8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  <c r="AM165" s="47"/>
    </row>
    <row r="166" spans="1:39" ht="16.5" thickTop="1" thickBot="1" x14ac:dyDescent="0.3">
      <c r="A166" s="8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  <c r="AM166" s="47"/>
    </row>
    <row r="167" spans="1:39" ht="16.5" thickTop="1" thickBot="1" x14ac:dyDescent="0.3">
      <c r="A167" s="8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  <c r="AM167" s="47"/>
    </row>
    <row r="168" spans="1:39" ht="16.5" thickTop="1" thickBot="1" x14ac:dyDescent="0.3">
      <c r="A168" s="8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  <c r="AM168" s="47"/>
    </row>
    <row r="169" spans="1:39" ht="16.5" thickTop="1" thickBot="1" x14ac:dyDescent="0.3"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  <c r="AM169" s="47"/>
    </row>
    <row r="170" spans="1:39" ht="16.5" thickTop="1" thickBot="1" x14ac:dyDescent="0.3"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  <c r="AM170" s="47"/>
    </row>
    <row r="171" spans="1:39" ht="16.5" thickTop="1" thickBot="1" x14ac:dyDescent="0.3"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  <c r="AM171" s="47"/>
    </row>
    <row r="172" spans="1:39" ht="16.5" thickTop="1" thickBot="1" x14ac:dyDescent="0.3"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</row>
    <row r="173" spans="1:39" ht="16.5" thickTop="1" thickBot="1" x14ac:dyDescent="0.3"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</row>
    <row r="174" spans="1:39" ht="16.5" thickTop="1" thickBot="1" x14ac:dyDescent="0.3"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</row>
    <row r="175" spans="1:39" ht="16.5" thickTop="1" thickBot="1" x14ac:dyDescent="0.3"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</row>
    <row r="176" spans="1:39" ht="16.5" thickTop="1" thickBot="1" x14ac:dyDescent="0.3"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</row>
    <row r="177" spans="8:39" ht="16.5" thickTop="1" thickBot="1" x14ac:dyDescent="0.3"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</row>
    <row r="178" spans="8:39" ht="16.5" thickTop="1" thickBot="1" x14ac:dyDescent="0.3"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</row>
    <row r="179" spans="8:39" ht="16.5" thickTop="1" thickBot="1" x14ac:dyDescent="0.3"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</row>
    <row r="180" spans="8:39" ht="16.5" thickTop="1" thickBot="1" x14ac:dyDescent="0.3"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</row>
    <row r="181" spans="8:39" ht="16.5" thickTop="1" thickBot="1" x14ac:dyDescent="0.3"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</row>
    <row r="182" spans="8:39" ht="16.5" thickTop="1" thickBot="1" x14ac:dyDescent="0.3"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</row>
    <row r="183" spans="8:39" ht="16.5" thickTop="1" thickBot="1" x14ac:dyDescent="0.3"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</row>
    <row r="184" spans="8:39" ht="16.5" thickTop="1" thickBot="1" x14ac:dyDescent="0.3"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</row>
    <row r="185" spans="8:39" ht="16.5" thickTop="1" thickBot="1" x14ac:dyDescent="0.3"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</row>
    <row r="186" spans="8:39" ht="16.5" thickTop="1" thickBot="1" x14ac:dyDescent="0.3"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</row>
    <row r="187" spans="8:39" ht="16.5" thickTop="1" thickBot="1" x14ac:dyDescent="0.3"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</row>
    <row r="188" spans="8:39" ht="16.5" thickTop="1" thickBot="1" x14ac:dyDescent="0.3"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</row>
    <row r="189" spans="8:39" ht="16.5" thickTop="1" thickBot="1" x14ac:dyDescent="0.3"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</row>
    <row r="190" spans="8:39" ht="16.5" thickTop="1" thickBot="1" x14ac:dyDescent="0.3"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</row>
    <row r="191" spans="8:39" ht="16.5" thickTop="1" thickBot="1" x14ac:dyDescent="0.3"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</row>
    <row r="192" spans="8:39" ht="16.5" thickTop="1" thickBot="1" x14ac:dyDescent="0.3"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</row>
    <row r="193" spans="8:39" ht="16.5" thickTop="1" thickBot="1" x14ac:dyDescent="0.3"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</row>
    <row r="194" spans="8:39" ht="16.5" thickTop="1" thickBot="1" x14ac:dyDescent="0.3"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</row>
    <row r="195" spans="8:39" ht="16.5" thickTop="1" thickBot="1" x14ac:dyDescent="0.3"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  <c r="AM195" s="47"/>
    </row>
    <row r="196" spans="8:39" ht="16.5" thickTop="1" thickBot="1" x14ac:dyDescent="0.3"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  <c r="AM196" s="47"/>
    </row>
    <row r="197" spans="8:39" ht="16.5" thickTop="1" thickBot="1" x14ac:dyDescent="0.3"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</row>
    <row r="198" spans="8:39" ht="16.5" thickTop="1" thickBot="1" x14ac:dyDescent="0.3"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</row>
    <row r="199" spans="8:39" ht="16.5" thickTop="1" thickBot="1" x14ac:dyDescent="0.3"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</row>
    <row r="200" spans="8:39" ht="16.5" thickTop="1" thickBot="1" x14ac:dyDescent="0.3"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</row>
    <row r="201" spans="8:39" ht="16.5" thickTop="1" thickBot="1" x14ac:dyDescent="0.3"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</row>
    <row r="202" spans="8:39" ht="16.5" thickTop="1" thickBot="1" x14ac:dyDescent="0.3"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</row>
    <row r="203" spans="8:39" ht="16.5" thickTop="1" thickBot="1" x14ac:dyDescent="0.3"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</row>
    <row r="204" spans="8:39" ht="16.5" thickTop="1" thickBot="1" x14ac:dyDescent="0.3"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</row>
    <row r="205" spans="8:39" ht="16.5" thickTop="1" thickBot="1" x14ac:dyDescent="0.3"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</row>
    <row r="206" spans="8:39" ht="16.5" thickTop="1" thickBot="1" x14ac:dyDescent="0.3"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47"/>
    </row>
    <row r="207" spans="8:39" ht="16.5" thickTop="1" thickBot="1" x14ac:dyDescent="0.3"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47"/>
    </row>
    <row r="208" spans="8:39" ht="16.5" thickTop="1" thickBot="1" x14ac:dyDescent="0.3"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47"/>
    </row>
    <row r="209" spans="8:39" ht="16.5" thickTop="1" thickBot="1" x14ac:dyDescent="0.3"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</row>
    <row r="210" spans="8:39" ht="16.5" thickTop="1" thickBot="1" x14ac:dyDescent="0.3"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</row>
    <row r="211" spans="8:39" ht="16.5" thickTop="1" thickBot="1" x14ac:dyDescent="0.3"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47"/>
    </row>
    <row r="212" spans="8:39" ht="16.5" thickTop="1" thickBot="1" x14ac:dyDescent="0.3"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  <c r="AM212" s="47"/>
    </row>
    <row r="213" spans="8:39" ht="16.5" thickTop="1" thickBot="1" x14ac:dyDescent="0.3"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  <c r="AM213" s="47"/>
    </row>
    <row r="214" spans="8:39" ht="16.5" thickTop="1" thickBot="1" x14ac:dyDescent="0.3"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  <c r="AM214" s="47"/>
    </row>
    <row r="215" spans="8:39" ht="16.5" thickTop="1" thickBot="1" x14ac:dyDescent="0.3"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  <c r="AM215" s="47"/>
    </row>
    <row r="216" spans="8:39" ht="16.5" thickTop="1" thickBot="1" x14ac:dyDescent="0.3"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  <c r="AM216" s="47"/>
    </row>
    <row r="217" spans="8:39" ht="16.5" thickTop="1" thickBot="1" x14ac:dyDescent="0.3"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  <c r="AM217" s="47"/>
    </row>
    <row r="218" spans="8:39" ht="16.5" thickTop="1" thickBot="1" x14ac:dyDescent="0.3"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7"/>
      <c r="AB218" s="47"/>
      <c r="AC218" s="47"/>
      <c r="AD218" s="47"/>
      <c r="AE218" s="47"/>
      <c r="AF218" s="47"/>
      <c r="AG218" s="47"/>
      <c r="AH218" s="47"/>
      <c r="AI218" s="47"/>
      <c r="AJ218" s="47"/>
      <c r="AK218" s="47"/>
      <c r="AL218" s="47"/>
      <c r="AM218" s="47"/>
    </row>
    <row r="219" spans="8:39" ht="16.5" thickTop="1" thickBot="1" x14ac:dyDescent="0.3"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  <c r="AA219" s="47"/>
      <c r="AB219" s="47"/>
      <c r="AC219" s="47"/>
      <c r="AD219" s="47"/>
      <c r="AE219" s="47"/>
      <c r="AF219" s="47"/>
      <c r="AG219" s="47"/>
      <c r="AH219" s="47"/>
      <c r="AI219" s="47"/>
      <c r="AJ219" s="47"/>
      <c r="AK219" s="47"/>
      <c r="AL219" s="47"/>
      <c r="AM219" s="47"/>
    </row>
    <row r="220" spans="8:39" ht="16.5" thickTop="1" thickBot="1" x14ac:dyDescent="0.3"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7"/>
      <c r="AB220" s="47"/>
      <c r="AC220" s="47"/>
      <c r="AD220" s="47"/>
      <c r="AE220" s="47"/>
      <c r="AF220" s="47"/>
      <c r="AG220" s="47"/>
      <c r="AH220" s="47"/>
      <c r="AI220" s="47"/>
      <c r="AJ220" s="47"/>
      <c r="AK220" s="47"/>
      <c r="AL220" s="47"/>
      <c r="AM220" s="47"/>
    </row>
    <row r="221" spans="8:39" ht="16.5" thickTop="1" thickBot="1" x14ac:dyDescent="0.3"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  <c r="AM221" s="47"/>
    </row>
    <row r="222" spans="8:39" ht="16.5" thickTop="1" thickBot="1" x14ac:dyDescent="0.3"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  <c r="AM222" s="47"/>
    </row>
    <row r="223" spans="8:39" ht="16.5" thickTop="1" thickBot="1" x14ac:dyDescent="0.3"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</row>
    <row r="224" spans="8:39" ht="16.5" thickTop="1" thickBot="1" x14ac:dyDescent="0.3"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</row>
    <row r="225" spans="8:39" ht="16.5" thickTop="1" thickBot="1" x14ac:dyDescent="0.3"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  <c r="AM225" s="47"/>
    </row>
    <row r="226" spans="8:39" ht="16.5" thickTop="1" thickBot="1" x14ac:dyDescent="0.3"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  <c r="AM226" s="47"/>
    </row>
    <row r="227" spans="8:39" ht="16.5" thickTop="1" thickBot="1" x14ac:dyDescent="0.3"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  <c r="AM227" s="47"/>
    </row>
    <row r="228" spans="8:39" ht="16.5" thickTop="1" thickBot="1" x14ac:dyDescent="0.3"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</row>
    <row r="229" spans="8:39" ht="16.5" thickTop="1" thickBot="1" x14ac:dyDescent="0.3"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  <c r="AM229" s="47"/>
    </row>
    <row r="230" spans="8:39" ht="16.5" thickTop="1" thickBot="1" x14ac:dyDescent="0.3"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  <c r="AM230" s="47"/>
    </row>
    <row r="231" spans="8:39" ht="16.5" thickTop="1" thickBot="1" x14ac:dyDescent="0.3"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7"/>
      <c r="AB231" s="47"/>
      <c r="AC231" s="47"/>
      <c r="AD231" s="47"/>
      <c r="AE231" s="47"/>
      <c r="AF231" s="47"/>
      <c r="AG231" s="47"/>
      <c r="AH231" s="47"/>
      <c r="AI231" s="47"/>
      <c r="AJ231" s="47"/>
      <c r="AK231" s="47"/>
      <c r="AL231" s="47"/>
      <c r="AM231" s="47"/>
    </row>
    <row r="232" spans="8:39" ht="16.5" thickTop="1" thickBot="1" x14ac:dyDescent="0.3"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  <c r="AA232" s="47"/>
      <c r="AB232" s="47"/>
      <c r="AC232" s="47"/>
      <c r="AD232" s="47"/>
      <c r="AE232" s="47"/>
      <c r="AF232" s="47"/>
      <c r="AG232" s="47"/>
      <c r="AH232" s="47"/>
      <c r="AI232" s="47"/>
      <c r="AJ232" s="47"/>
      <c r="AK232" s="47"/>
      <c r="AL232" s="47"/>
      <c r="AM232" s="47"/>
    </row>
    <row r="233" spans="8:39" ht="16.5" thickTop="1" thickBot="1" x14ac:dyDescent="0.3"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  <c r="AA233" s="47"/>
      <c r="AB233" s="47"/>
      <c r="AC233" s="47"/>
      <c r="AD233" s="47"/>
      <c r="AE233" s="47"/>
      <c r="AF233" s="47"/>
      <c r="AG233" s="47"/>
      <c r="AH233" s="47"/>
      <c r="AI233" s="47"/>
      <c r="AJ233" s="47"/>
      <c r="AK233" s="47"/>
      <c r="AL233" s="47"/>
      <c r="AM233" s="47"/>
    </row>
    <row r="234" spans="8:39" ht="16.5" thickTop="1" thickBot="1" x14ac:dyDescent="0.3"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  <c r="AA234" s="47"/>
      <c r="AB234" s="47"/>
      <c r="AC234" s="47"/>
      <c r="AD234" s="47"/>
      <c r="AE234" s="47"/>
      <c r="AF234" s="47"/>
      <c r="AG234" s="47"/>
      <c r="AH234" s="47"/>
      <c r="AI234" s="47"/>
      <c r="AJ234" s="47"/>
      <c r="AK234" s="47"/>
      <c r="AL234" s="47"/>
      <c r="AM234" s="47"/>
    </row>
    <row r="235" spans="8:39" ht="16.5" thickTop="1" thickBot="1" x14ac:dyDescent="0.3"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  <c r="AA235" s="47"/>
      <c r="AB235" s="47"/>
      <c r="AC235" s="47"/>
      <c r="AD235" s="47"/>
      <c r="AE235" s="47"/>
      <c r="AF235" s="47"/>
      <c r="AG235" s="47"/>
      <c r="AH235" s="47"/>
      <c r="AI235" s="47"/>
      <c r="AJ235" s="47"/>
      <c r="AK235" s="47"/>
      <c r="AL235" s="47"/>
      <c r="AM235" s="47"/>
    </row>
    <row r="236" spans="8:39" ht="16.5" thickTop="1" thickBot="1" x14ac:dyDescent="0.3"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  <c r="AA236" s="47"/>
      <c r="AB236" s="47"/>
      <c r="AC236" s="47"/>
      <c r="AD236" s="47"/>
      <c r="AE236" s="47"/>
      <c r="AF236" s="47"/>
      <c r="AG236" s="47"/>
      <c r="AH236" s="47"/>
      <c r="AI236" s="47"/>
      <c r="AJ236" s="47"/>
      <c r="AK236" s="47"/>
      <c r="AL236" s="47"/>
      <c r="AM236" s="47"/>
    </row>
    <row r="237" spans="8:39" ht="16.5" thickTop="1" thickBot="1" x14ac:dyDescent="0.3"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  <c r="AA237" s="47"/>
      <c r="AB237" s="47"/>
      <c r="AC237" s="47"/>
      <c r="AD237" s="47"/>
      <c r="AE237" s="47"/>
      <c r="AF237" s="47"/>
      <c r="AG237" s="47"/>
      <c r="AH237" s="47"/>
      <c r="AI237" s="47"/>
      <c r="AJ237" s="47"/>
      <c r="AK237" s="47"/>
      <c r="AL237" s="47"/>
      <c r="AM237" s="47"/>
    </row>
    <row r="238" spans="8:39" ht="16.5" thickTop="1" thickBot="1" x14ac:dyDescent="0.3"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  <c r="AA238" s="47"/>
      <c r="AB238" s="47"/>
      <c r="AC238" s="47"/>
      <c r="AD238" s="47"/>
      <c r="AE238" s="47"/>
      <c r="AF238" s="47"/>
      <c r="AG238" s="47"/>
      <c r="AH238" s="47"/>
      <c r="AI238" s="47"/>
      <c r="AJ238" s="47"/>
      <c r="AK238" s="47"/>
      <c r="AL238" s="47"/>
      <c r="AM238" s="47"/>
    </row>
    <row r="239" spans="8:39" ht="16.5" thickTop="1" thickBot="1" x14ac:dyDescent="0.3"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  <c r="AA239" s="47"/>
      <c r="AB239" s="47"/>
      <c r="AC239" s="47"/>
      <c r="AD239" s="47"/>
      <c r="AE239" s="47"/>
      <c r="AF239" s="47"/>
      <c r="AG239" s="47"/>
      <c r="AH239" s="47"/>
      <c r="AI239" s="47"/>
      <c r="AJ239" s="47"/>
      <c r="AK239" s="47"/>
      <c r="AL239" s="47"/>
      <c r="AM239" s="47"/>
    </row>
    <row r="240" spans="8:39" ht="16.5" thickTop="1" thickBot="1" x14ac:dyDescent="0.3"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  <c r="AA240" s="47"/>
      <c r="AB240" s="47"/>
      <c r="AC240" s="47"/>
      <c r="AD240" s="47"/>
      <c r="AE240" s="47"/>
      <c r="AF240" s="47"/>
      <c r="AG240" s="47"/>
      <c r="AH240" s="47"/>
      <c r="AI240" s="47"/>
      <c r="AJ240" s="47"/>
      <c r="AK240" s="47"/>
      <c r="AL240" s="47"/>
      <c r="AM240" s="47"/>
    </row>
    <row r="241" spans="8:39" ht="16.5" thickTop="1" thickBot="1" x14ac:dyDescent="0.3"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7"/>
      <c r="AD241" s="47"/>
      <c r="AE241" s="47"/>
      <c r="AF241" s="47"/>
      <c r="AG241" s="47"/>
      <c r="AH241" s="47"/>
      <c r="AI241" s="47"/>
      <c r="AJ241" s="47"/>
      <c r="AK241" s="47"/>
      <c r="AL241" s="47"/>
      <c r="AM241" s="47"/>
    </row>
    <row r="242" spans="8:39" ht="16.5" thickTop="1" thickBot="1" x14ac:dyDescent="0.3"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  <c r="AA242" s="47"/>
      <c r="AB242" s="47"/>
      <c r="AC242" s="47"/>
      <c r="AD242" s="47"/>
      <c r="AE242" s="47"/>
      <c r="AF242" s="47"/>
      <c r="AG242" s="47"/>
      <c r="AH242" s="47"/>
      <c r="AI242" s="47"/>
      <c r="AJ242" s="47"/>
      <c r="AK242" s="47"/>
      <c r="AL242" s="47"/>
      <c r="AM242" s="47"/>
    </row>
    <row r="243" spans="8:39" ht="16.5" thickTop="1" thickBot="1" x14ac:dyDescent="0.3"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  <c r="AA243" s="47"/>
      <c r="AB243" s="47"/>
      <c r="AC243" s="47"/>
      <c r="AD243" s="47"/>
      <c r="AE243" s="47"/>
      <c r="AF243" s="47"/>
      <c r="AG243" s="47"/>
      <c r="AH243" s="47"/>
      <c r="AI243" s="47"/>
      <c r="AJ243" s="47"/>
      <c r="AK243" s="47"/>
      <c r="AL243" s="47"/>
      <c r="AM243" s="47"/>
    </row>
    <row r="244" spans="8:39" ht="16.5" thickTop="1" thickBot="1" x14ac:dyDescent="0.3"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  <c r="AA244" s="47"/>
      <c r="AB244" s="47"/>
      <c r="AC244" s="47"/>
      <c r="AD244" s="47"/>
      <c r="AE244" s="47"/>
      <c r="AF244" s="47"/>
      <c r="AG244" s="47"/>
      <c r="AH244" s="47"/>
      <c r="AI244" s="47"/>
      <c r="AJ244" s="47"/>
      <c r="AK244" s="47"/>
      <c r="AL244" s="47"/>
      <c r="AM244" s="47"/>
    </row>
    <row r="245" spans="8:39" ht="16.5" thickTop="1" thickBot="1" x14ac:dyDescent="0.3"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  <c r="AA245" s="47"/>
      <c r="AB245" s="47"/>
      <c r="AC245" s="47"/>
      <c r="AD245" s="47"/>
      <c r="AE245" s="47"/>
      <c r="AF245" s="47"/>
      <c r="AG245" s="47"/>
      <c r="AH245" s="47"/>
      <c r="AI245" s="47"/>
      <c r="AJ245" s="47"/>
      <c r="AK245" s="47"/>
      <c r="AL245" s="47"/>
      <c r="AM245" s="47"/>
    </row>
    <row r="246" spans="8:39" ht="16.5" thickTop="1" thickBot="1" x14ac:dyDescent="0.3"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  <c r="AA246" s="47"/>
      <c r="AB246" s="47"/>
      <c r="AC246" s="47"/>
      <c r="AD246" s="47"/>
      <c r="AE246" s="47"/>
      <c r="AF246" s="47"/>
      <c r="AG246" s="47"/>
      <c r="AH246" s="47"/>
      <c r="AI246" s="47"/>
      <c r="AJ246" s="47"/>
      <c r="AK246" s="47"/>
      <c r="AL246" s="47"/>
      <c r="AM246" s="47"/>
    </row>
    <row r="247" spans="8:39" ht="16.5" thickTop="1" thickBot="1" x14ac:dyDescent="0.3"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  <c r="AA247" s="47"/>
      <c r="AB247" s="47"/>
      <c r="AC247" s="47"/>
      <c r="AD247" s="47"/>
      <c r="AE247" s="47"/>
      <c r="AF247" s="47"/>
      <c r="AG247" s="47"/>
      <c r="AH247" s="47"/>
      <c r="AI247" s="47"/>
      <c r="AJ247" s="47"/>
      <c r="AK247" s="47"/>
      <c r="AL247" s="47"/>
      <c r="AM247" s="47"/>
    </row>
    <row r="248" spans="8:39" ht="16.5" thickTop="1" thickBot="1" x14ac:dyDescent="0.3"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  <c r="AA248" s="47"/>
      <c r="AB248" s="47"/>
      <c r="AC248" s="47"/>
      <c r="AD248" s="47"/>
      <c r="AE248" s="47"/>
      <c r="AF248" s="47"/>
      <c r="AG248" s="47"/>
      <c r="AH248" s="47"/>
      <c r="AI248" s="47"/>
      <c r="AJ248" s="47"/>
      <c r="AK248" s="47"/>
      <c r="AL248" s="47"/>
      <c r="AM248" s="47"/>
    </row>
    <row r="249" spans="8:39" ht="16.5" thickTop="1" thickBot="1" x14ac:dyDescent="0.3"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  <c r="AA249" s="47"/>
      <c r="AB249" s="47"/>
      <c r="AC249" s="47"/>
      <c r="AD249" s="47"/>
      <c r="AE249" s="47"/>
      <c r="AF249" s="47"/>
      <c r="AG249" s="47"/>
      <c r="AH249" s="47"/>
      <c r="AI249" s="47"/>
      <c r="AJ249" s="47"/>
      <c r="AK249" s="47"/>
      <c r="AL249" s="47"/>
      <c r="AM249" s="47"/>
    </row>
    <row r="250" spans="8:39" ht="16.5" thickTop="1" thickBot="1" x14ac:dyDescent="0.3"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  <c r="AA250" s="47"/>
      <c r="AB250" s="47"/>
      <c r="AC250" s="47"/>
      <c r="AD250" s="47"/>
      <c r="AE250" s="47"/>
      <c r="AF250" s="47"/>
      <c r="AG250" s="47"/>
      <c r="AH250" s="47"/>
      <c r="AI250" s="47"/>
      <c r="AJ250" s="47"/>
      <c r="AK250" s="47"/>
      <c r="AL250" s="47"/>
      <c r="AM250" s="47"/>
    </row>
    <row r="251" spans="8:39" ht="16.5" thickTop="1" thickBot="1" x14ac:dyDescent="0.3"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  <c r="AA251" s="47"/>
      <c r="AB251" s="47"/>
      <c r="AC251" s="47"/>
      <c r="AD251" s="47"/>
      <c r="AE251" s="47"/>
      <c r="AF251" s="47"/>
      <c r="AG251" s="47"/>
      <c r="AH251" s="47"/>
      <c r="AI251" s="47"/>
      <c r="AJ251" s="47"/>
      <c r="AK251" s="47"/>
      <c r="AL251" s="47"/>
      <c r="AM251" s="47"/>
    </row>
    <row r="252" spans="8:39" ht="16.5" thickTop="1" thickBot="1" x14ac:dyDescent="0.3"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  <c r="AA252" s="47"/>
      <c r="AB252" s="47"/>
      <c r="AC252" s="47"/>
      <c r="AD252" s="47"/>
      <c r="AE252" s="47"/>
      <c r="AF252" s="47"/>
      <c r="AG252" s="47"/>
      <c r="AH252" s="47"/>
      <c r="AI252" s="47"/>
      <c r="AJ252" s="47"/>
      <c r="AK252" s="47"/>
      <c r="AL252" s="47"/>
      <c r="AM252" s="47"/>
    </row>
    <row r="253" spans="8:39" ht="16.5" thickTop="1" thickBot="1" x14ac:dyDescent="0.3"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  <c r="AA253" s="47"/>
      <c r="AB253" s="47"/>
      <c r="AC253" s="47"/>
      <c r="AD253" s="47"/>
      <c r="AE253" s="47"/>
      <c r="AF253" s="47"/>
      <c r="AG253" s="47"/>
      <c r="AH253" s="47"/>
      <c r="AI253" s="47"/>
      <c r="AJ253" s="47"/>
      <c r="AK253" s="47"/>
      <c r="AL253" s="47"/>
      <c r="AM253" s="47"/>
    </row>
    <row r="254" spans="8:39" ht="16.5" thickTop="1" thickBot="1" x14ac:dyDescent="0.3"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  <c r="AA254" s="47"/>
      <c r="AB254" s="47"/>
      <c r="AC254" s="47"/>
      <c r="AD254" s="47"/>
      <c r="AE254" s="47"/>
      <c r="AF254" s="47"/>
      <c r="AG254" s="47"/>
      <c r="AH254" s="47"/>
      <c r="AI254" s="47"/>
      <c r="AJ254" s="47"/>
      <c r="AK254" s="47"/>
      <c r="AL254" s="47"/>
      <c r="AM254" s="47"/>
    </row>
    <row r="255" spans="8:39" ht="16.5" thickTop="1" thickBot="1" x14ac:dyDescent="0.3"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  <c r="AA255" s="47"/>
      <c r="AB255" s="47"/>
      <c r="AC255" s="47"/>
      <c r="AD255" s="47"/>
      <c r="AE255" s="47"/>
      <c r="AF255" s="47"/>
      <c r="AG255" s="47"/>
      <c r="AH255" s="47"/>
      <c r="AI255" s="47"/>
      <c r="AJ255" s="47"/>
      <c r="AK255" s="47"/>
      <c r="AL255" s="47"/>
      <c r="AM255" s="47"/>
    </row>
    <row r="256" spans="8:39" ht="16.5" thickTop="1" thickBot="1" x14ac:dyDescent="0.3"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  <c r="AC256" s="47"/>
      <c r="AD256" s="47"/>
      <c r="AE256" s="47"/>
      <c r="AF256" s="47"/>
      <c r="AG256" s="47"/>
      <c r="AH256" s="47"/>
      <c r="AI256" s="47"/>
      <c r="AJ256" s="47"/>
      <c r="AK256" s="47"/>
      <c r="AL256" s="47"/>
      <c r="AM256" s="47"/>
    </row>
    <row r="257" spans="8:39" ht="16.5" thickTop="1" thickBot="1" x14ac:dyDescent="0.3"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  <c r="AM257" s="47"/>
    </row>
    <row r="258" spans="8:39" ht="16.5" thickTop="1" thickBot="1" x14ac:dyDescent="0.3"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  <c r="AM258" s="47"/>
    </row>
    <row r="259" spans="8:39" ht="16.5" thickTop="1" thickBot="1" x14ac:dyDescent="0.3"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  <c r="AM259" s="47"/>
    </row>
    <row r="260" spans="8:39" ht="16.5" thickTop="1" thickBot="1" x14ac:dyDescent="0.3"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  <c r="AM260" s="47"/>
    </row>
    <row r="261" spans="8:39" ht="16.5" thickTop="1" thickBot="1" x14ac:dyDescent="0.3"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  <c r="AM261" s="47"/>
    </row>
    <row r="262" spans="8:39" ht="16.5" thickTop="1" thickBot="1" x14ac:dyDescent="0.3"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  <c r="AM262" s="47"/>
    </row>
    <row r="263" spans="8:39" ht="16.5" thickTop="1" thickBot="1" x14ac:dyDescent="0.3"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  <c r="AM263" s="47"/>
    </row>
    <row r="264" spans="8:39" ht="16.5" thickTop="1" thickBot="1" x14ac:dyDescent="0.3"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  <c r="AA264" s="47"/>
      <c r="AB264" s="47"/>
      <c r="AC264" s="47"/>
      <c r="AD264" s="47"/>
      <c r="AE264" s="47"/>
      <c r="AF264" s="47"/>
      <c r="AG264" s="47"/>
      <c r="AH264" s="47"/>
      <c r="AI264" s="47"/>
      <c r="AJ264" s="47"/>
      <c r="AK264" s="47"/>
      <c r="AL264" s="47"/>
      <c r="AM264" s="47"/>
    </row>
    <row r="265" spans="8:39" ht="16.5" thickTop="1" thickBot="1" x14ac:dyDescent="0.3"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47"/>
    </row>
    <row r="266" spans="8:39" ht="16.5" thickTop="1" thickBot="1" x14ac:dyDescent="0.3"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  <c r="AM266" s="47"/>
    </row>
    <row r="267" spans="8:39" ht="16.5" thickTop="1" thickBot="1" x14ac:dyDescent="0.3"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  <c r="AM267" s="47"/>
    </row>
    <row r="268" spans="8:39" ht="16.5" thickTop="1" thickBot="1" x14ac:dyDescent="0.3"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  <c r="AM268" s="47"/>
    </row>
    <row r="269" spans="8:39" ht="15.75" thickTop="1" x14ac:dyDescent="0.25"/>
  </sheetData>
  <mergeCells count="6">
    <mergeCell ref="A8:E8"/>
    <mergeCell ref="B7:C7"/>
    <mergeCell ref="B6:C6"/>
    <mergeCell ref="B5:C5"/>
    <mergeCell ref="B4:C4"/>
    <mergeCell ref="A1:E2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mbMaterial">
          <controlPr defaultSize="0" autoLine="0" r:id="rId5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60" r:id="rId4" name="cmbMaterial"/>
      </mc:Fallback>
    </mc:AlternateContent>
    <mc:AlternateContent xmlns:mc="http://schemas.openxmlformats.org/markup-compatibility/2006">
      <mc:Choice Requires="x14">
        <control shapeId="1046" r:id="rId6" name="cmbReciclador">
          <controlPr defaultSize="0" autoLine="0" autoPict="0" linkedCell="B5" listFillRange="RECICLADORES!B2:B500" r:id="rId7">
            <anchor moveWithCells="1">
              <from>
                <xdr:col>1</xdr:col>
                <xdr:colOff>9525</xdr:colOff>
                <xdr:row>4</xdr:row>
                <xdr:rowOff>0</xdr:rowOff>
              </from>
              <to>
                <xdr:col>3</xdr:col>
                <xdr:colOff>19050</xdr:colOff>
                <xdr:row>4</xdr:row>
                <xdr:rowOff>219075</xdr:rowOff>
              </to>
            </anchor>
          </controlPr>
        </control>
      </mc:Choice>
      <mc:Fallback>
        <control shapeId="1046" r:id="rId6" name="cmbReciclador"/>
      </mc:Fallback>
    </mc:AlternateContent>
    <mc:AlternateContent xmlns:mc="http://schemas.openxmlformats.org/markup-compatibility/2006">
      <mc:Choice Requires="x14">
        <control shapeId="1047" r:id="rId8" name="Button 23">
          <controlPr defaultSize="0" print="0" autoFill="0" autoPict="0" macro="[0]!GuardarPDFRecibo">
            <anchor moveWithCells="1" sizeWithCells="1">
              <from>
                <xdr:col>7</xdr:col>
                <xdr:colOff>19050</xdr:colOff>
                <xdr:row>5</xdr:row>
                <xdr:rowOff>209550</xdr:rowOff>
              </from>
              <to>
                <xdr:col>7</xdr:col>
                <xdr:colOff>1457325</xdr:colOff>
                <xdr:row>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9" name="Button 25">
          <controlPr defaultSize="0" print="0" autoFill="0" autoPict="0" macro="[0]!ImprimirRecibo">
            <anchor moveWithCells="1" sizeWithCells="1">
              <from>
                <xdr:col>7</xdr:col>
                <xdr:colOff>9525</xdr:colOff>
                <xdr:row>7</xdr:row>
                <xdr:rowOff>209550</xdr:rowOff>
              </from>
              <to>
                <xdr:col>7</xdr:col>
                <xdr:colOff>1457325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0" name="Button 26">
          <controlPr defaultSize="0" print="0" autoFill="0" autoPict="0" macro="[0]!GuardarRecibo">
            <anchor moveWithCells="1">
              <from>
                <xdr:col>6</xdr:col>
                <xdr:colOff>152400</xdr:colOff>
                <xdr:row>3</xdr:row>
                <xdr:rowOff>171450</xdr:rowOff>
              </from>
              <to>
                <xdr:col>8</xdr:col>
                <xdr:colOff>28575</xdr:colOff>
                <xdr:row>4</xdr:row>
                <xdr:rowOff>209550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errorTitle="Material no válido" error="Seleccione un material de la lista." promptTitle="Material" prompt="Seleccione el material reciclable." xr:uid="{00000000-0002-0000-0000-000000000000}">
          <x14:formula1>
            <xm:f>MATERIALES!$C$2:$C$500</xm:f>
          </x14:formula1>
          <xm:sqref>B10:B27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O78"/>
  <sheetViews>
    <sheetView topLeftCell="B1" workbookViewId="0">
      <pane ySplit="1" topLeftCell="A2" activePane="bottomLeft" state="frozen"/>
      <selection activeCell="A26" sqref="A26"/>
      <selection pane="bottomLeft" activeCell="A26" sqref="A26"/>
    </sheetView>
  </sheetViews>
  <sheetFormatPr baseColWidth="10" defaultColWidth="9.140625" defaultRowHeight="15" x14ac:dyDescent="0.25"/>
  <cols>
    <col min="1" max="1" width="18" customWidth="1"/>
    <col min="2" max="2" width="38" customWidth="1"/>
    <col min="3" max="4" width="18" customWidth="1"/>
    <col min="5" max="5" width="38" customWidth="1"/>
    <col min="6" max="6" width="18" customWidth="1"/>
    <col min="7" max="7" width="8.85546875" customWidth="1"/>
    <col min="8" max="8" width="12.42578125" customWidth="1"/>
    <col min="9" max="9" width="14" customWidth="1"/>
    <col min="10" max="10" width="16.5703125" customWidth="1"/>
    <col min="11" max="11" width="16.85546875" customWidth="1"/>
    <col min="12" max="12" width="14.85546875" customWidth="1"/>
    <col min="13" max="13" width="13.42578125" customWidth="1"/>
    <col min="14" max="14" width="15.7109375" customWidth="1"/>
  </cols>
  <sheetData>
    <row r="1" spans="1:15" ht="18" customHeight="1" x14ac:dyDescent="0.25">
      <c r="A1" s="1" t="s">
        <v>14</v>
      </c>
      <c r="B1" s="1" t="s">
        <v>15</v>
      </c>
      <c r="C1" s="1" t="s">
        <v>4</v>
      </c>
      <c r="D1" s="1" t="s">
        <v>16</v>
      </c>
      <c r="E1" s="1" t="s">
        <v>17</v>
      </c>
      <c r="F1" s="1" t="s">
        <v>7</v>
      </c>
      <c r="G1" s="1" t="s">
        <v>18</v>
      </c>
      <c r="H1" s="24" t="s">
        <v>341</v>
      </c>
      <c r="I1" s="25" t="s">
        <v>342</v>
      </c>
      <c r="J1" s="25" t="s">
        <v>343</v>
      </c>
      <c r="K1" s="25" t="s">
        <v>344</v>
      </c>
      <c r="L1" s="25" t="s">
        <v>345</v>
      </c>
      <c r="M1" s="26" t="s">
        <v>346</v>
      </c>
      <c r="N1" s="26" t="s">
        <v>347</v>
      </c>
      <c r="O1" t="s">
        <v>350</v>
      </c>
    </row>
    <row r="2" spans="1:15" ht="18" customHeight="1" x14ac:dyDescent="0.25">
      <c r="A2" s="4">
        <v>1</v>
      </c>
      <c r="B2" s="4" t="s">
        <v>19</v>
      </c>
      <c r="C2" s="4">
        <v>5528028</v>
      </c>
      <c r="D2" s="4">
        <v>3204433879</v>
      </c>
      <c r="E2" s="4" t="s">
        <v>20</v>
      </c>
      <c r="F2" s="4" t="s">
        <v>21</v>
      </c>
      <c r="G2" s="4" t="s">
        <v>22</v>
      </c>
      <c r="H2" s="4" t="s">
        <v>227</v>
      </c>
      <c r="I2" s="4" t="s">
        <v>228</v>
      </c>
      <c r="J2" s="4" t="s">
        <v>229</v>
      </c>
      <c r="K2" s="4" t="s">
        <v>228</v>
      </c>
      <c r="L2" s="4" t="s">
        <v>229</v>
      </c>
      <c r="M2" s="4" t="s">
        <v>228</v>
      </c>
      <c r="N2" s="4"/>
      <c r="O2" s="4">
        <v>999</v>
      </c>
    </row>
    <row r="3" spans="1:15" ht="18" customHeight="1" x14ac:dyDescent="0.25">
      <c r="A3" s="4">
        <v>2</v>
      </c>
      <c r="B3" s="4" t="s">
        <v>23</v>
      </c>
      <c r="C3" s="4">
        <v>12520822</v>
      </c>
      <c r="D3" s="4" t="s">
        <v>24</v>
      </c>
      <c r="E3" s="4" t="s">
        <v>25</v>
      </c>
      <c r="F3" s="4" t="s">
        <v>21</v>
      </c>
      <c r="G3" s="4" t="s">
        <v>22</v>
      </c>
      <c r="H3" s="4" t="s">
        <v>230</v>
      </c>
      <c r="I3" s="4" t="s">
        <v>231</v>
      </c>
      <c r="J3" s="4" t="s">
        <v>232</v>
      </c>
      <c r="K3" s="4" t="s">
        <v>233</v>
      </c>
      <c r="L3" s="4" t="s">
        <v>234</v>
      </c>
      <c r="M3" s="4"/>
      <c r="N3" s="4"/>
      <c r="O3" s="4">
        <v>999</v>
      </c>
    </row>
    <row r="4" spans="1:15" ht="18" customHeight="1" x14ac:dyDescent="0.25">
      <c r="A4" s="4">
        <v>3</v>
      </c>
      <c r="B4" s="4" t="s">
        <v>26</v>
      </c>
      <c r="C4" s="4">
        <v>88141122</v>
      </c>
      <c r="D4" s="4">
        <v>3167291735</v>
      </c>
      <c r="E4" s="4" t="s">
        <v>27</v>
      </c>
      <c r="F4" s="4" t="s">
        <v>21</v>
      </c>
      <c r="G4" s="4" t="s">
        <v>22</v>
      </c>
      <c r="H4" s="4" t="s">
        <v>235</v>
      </c>
      <c r="I4" s="4" t="s">
        <v>236</v>
      </c>
      <c r="J4" s="4" t="s">
        <v>237</v>
      </c>
      <c r="K4" s="4" t="s">
        <v>235</v>
      </c>
      <c r="L4" s="4" t="s">
        <v>236</v>
      </c>
      <c r="M4" s="4" t="s">
        <v>227</v>
      </c>
      <c r="N4" s="4"/>
      <c r="O4" s="4">
        <v>999</v>
      </c>
    </row>
    <row r="5" spans="1:15" ht="18" customHeight="1" x14ac:dyDescent="0.25">
      <c r="A5" s="4">
        <v>4</v>
      </c>
      <c r="B5" s="4" t="s">
        <v>28</v>
      </c>
      <c r="C5" s="4">
        <v>13357815</v>
      </c>
      <c r="D5" s="4"/>
      <c r="E5" s="4" t="s">
        <v>29</v>
      </c>
      <c r="F5" s="4"/>
      <c r="G5" s="4" t="s">
        <v>22</v>
      </c>
      <c r="H5" s="4"/>
      <c r="I5" s="4"/>
      <c r="J5" s="4"/>
      <c r="K5" s="4"/>
      <c r="L5" s="4"/>
      <c r="M5" s="4"/>
      <c r="N5" s="4"/>
      <c r="O5" s="4">
        <v>999</v>
      </c>
    </row>
    <row r="6" spans="1:15" ht="18" customHeight="1" x14ac:dyDescent="0.25">
      <c r="A6" s="4">
        <v>5</v>
      </c>
      <c r="B6" s="4" t="s">
        <v>30</v>
      </c>
      <c r="C6" s="4">
        <v>27764436</v>
      </c>
      <c r="D6" s="4">
        <v>3175597912</v>
      </c>
      <c r="E6" s="4" t="s">
        <v>31</v>
      </c>
      <c r="F6" s="4" t="s">
        <v>21</v>
      </c>
      <c r="G6" s="4" t="s">
        <v>22</v>
      </c>
      <c r="H6" s="4" t="s">
        <v>227</v>
      </c>
      <c r="I6" s="4" t="s">
        <v>238</v>
      </c>
      <c r="J6" s="4" t="s">
        <v>227</v>
      </c>
      <c r="K6" s="4" t="s">
        <v>238</v>
      </c>
      <c r="L6" s="4" t="s">
        <v>227</v>
      </c>
      <c r="M6" s="4" t="s">
        <v>238</v>
      </c>
      <c r="N6" s="4"/>
      <c r="O6" s="4">
        <v>999</v>
      </c>
    </row>
    <row r="7" spans="1:15" ht="18" customHeight="1" x14ac:dyDescent="0.25">
      <c r="A7" s="4">
        <v>6</v>
      </c>
      <c r="B7" s="4" t="s">
        <v>32</v>
      </c>
      <c r="C7" s="4">
        <v>6227271</v>
      </c>
      <c r="D7" s="4">
        <v>3180215040</v>
      </c>
      <c r="E7" s="4" t="s">
        <v>33</v>
      </c>
      <c r="F7" s="4" t="s">
        <v>21</v>
      </c>
      <c r="G7" s="4" t="s">
        <v>22</v>
      </c>
      <c r="H7" s="4" t="s">
        <v>239</v>
      </c>
      <c r="I7" s="4" t="s">
        <v>240</v>
      </c>
      <c r="J7" s="4" t="s">
        <v>239</v>
      </c>
      <c r="K7" s="4" t="s">
        <v>240</v>
      </c>
      <c r="L7" s="4" t="s">
        <v>239</v>
      </c>
      <c r="M7" s="4"/>
      <c r="N7" s="4"/>
      <c r="O7" s="4">
        <v>999</v>
      </c>
    </row>
    <row r="8" spans="1:15" ht="18" customHeight="1" x14ac:dyDescent="0.25">
      <c r="A8" s="4">
        <v>7</v>
      </c>
      <c r="B8" s="4" t="s">
        <v>34</v>
      </c>
      <c r="C8" s="4">
        <v>13084631</v>
      </c>
      <c r="D8" s="4">
        <v>3212675643</v>
      </c>
      <c r="E8" s="4" t="s">
        <v>33</v>
      </c>
      <c r="F8" s="4" t="s">
        <v>21</v>
      </c>
      <c r="G8" s="4" t="s">
        <v>22</v>
      </c>
      <c r="H8" s="4" t="s">
        <v>239</v>
      </c>
      <c r="I8" s="4" t="s">
        <v>240</v>
      </c>
      <c r="J8" s="4" t="s">
        <v>239</v>
      </c>
      <c r="K8" s="4" t="s">
        <v>240</v>
      </c>
      <c r="L8" s="4" t="s">
        <v>239</v>
      </c>
      <c r="M8" s="4"/>
      <c r="N8" s="4"/>
      <c r="O8" s="4">
        <v>999</v>
      </c>
    </row>
    <row r="9" spans="1:15" ht="18" customHeight="1" x14ac:dyDescent="0.25">
      <c r="A9" s="4">
        <v>8</v>
      </c>
      <c r="B9" s="4" t="s">
        <v>35</v>
      </c>
      <c r="C9" s="4">
        <v>5974496</v>
      </c>
      <c r="D9" s="4">
        <v>3203218346</v>
      </c>
      <c r="E9" s="4" t="s">
        <v>36</v>
      </c>
      <c r="F9" s="4" t="s">
        <v>21</v>
      </c>
      <c r="G9" s="4" t="s">
        <v>22</v>
      </c>
      <c r="H9" s="4" t="s">
        <v>241</v>
      </c>
      <c r="I9" s="4" t="s">
        <v>242</v>
      </c>
      <c r="J9" s="4" t="s">
        <v>241</v>
      </c>
      <c r="K9" s="4" t="s">
        <v>242</v>
      </c>
      <c r="L9" s="4" t="s">
        <v>241</v>
      </c>
      <c r="M9" s="4" t="s">
        <v>242</v>
      </c>
      <c r="N9" s="4"/>
      <c r="O9" s="4">
        <v>999</v>
      </c>
    </row>
    <row r="10" spans="1:15" ht="18" customHeight="1" x14ac:dyDescent="0.25">
      <c r="A10" s="4">
        <v>9</v>
      </c>
      <c r="B10" s="4" t="s">
        <v>37</v>
      </c>
      <c r="C10" s="4">
        <v>5084647</v>
      </c>
      <c r="D10" s="4">
        <v>3125096017</v>
      </c>
      <c r="E10" s="4" t="s">
        <v>38</v>
      </c>
      <c r="F10" s="4" t="s">
        <v>21</v>
      </c>
      <c r="G10" s="4" t="s">
        <v>22</v>
      </c>
      <c r="H10" s="4" t="s">
        <v>243</v>
      </c>
      <c r="I10" s="4" t="s">
        <v>244</v>
      </c>
      <c r="J10" s="4" t="s">
        <v>243</v>
      </c>
      <c r="K10" s="4" t="s">
        <v>244</v>
      </c>
      <c r="L10" s="4" t="s">
        <v>243</v>
      </c>
      <c r="M10" s="4"/>
      <c r="N10" s="4"/>
      <c r="O10" s="4">
        <v>999</v>
      </c>
    </row>
    <row r="11" spans="1:15" ht="18" customHeight="1" x14ac:dyDescent="0.25">
      <c r="A11" s="4">
        <v>10</v>
      </c>
      <c r="B11" s="4" t="s">
        <v>39</v>
      </c>
      <c r="C11" s="4">
        <v>88281105</v>
      </c>
      <c r="D11" s="4">
        <v>3184091938</v>
      </c>
      <c r="E11" s="4" t="s">
        <v>40</v>
      </c>
      <c r="F11" s="4"/>
      <c r="G11" s="4" t="s">
        <v>22</v>
      </c>
      <c r="H11" s="4"/>
      <c r="I11" s="4"/>
      <c r="J11" s="4"/>
      <c r="K11" s="4"/>
      <c r="L11" s="4"/>
      <c r="M11" s="4"/>
      <c r="N11" s="4"/>
      <c r="O11" s="4">
        <v>999</v>
      </c>
    </row>
    <row r="12" spans="1:15" ht="18" customHeight="1" x14ac:dyDescent="0.25">
      <c r="A12" s="4">
        <v>11</v>
      </c>
      <c r="B12" s="4" t="s">
        <v>41</v>
      </c>
      <c r="C12" s="4">
        <v>37317139</v>
      </c>
      <c r="D12" s="4">
        <v>3227226362</v>
      </c>
      <c r="E12" s="4" t="s">
        <v>42</v>
      </c>
      <c r="F12" s="4" t="s">
        <v>21</v>
      </c>
      <c r="G12" s="4" t="s">
        <v>22</v>
      </c>
      <c r="H12" s="4" t="s">
        <v>245</v>
      </c>
      <c r="I12" s="4" t="s">
        <v>227</v>
      </c>
      <c r="J12" s="4" t="s">
        <v>245</v>
      </c>
      <c r="K12" s="4" t="s">
        <v>227</v>
      </c>
      <c r="L12" s="4" t="s">
        <v>245</v>
      </c>
      <c r="M12" s="4" t="s">
        <v>227</v>
      </c>
      <c r="N12" s="4"/>
      <c r="O12" s="4">
        <v>999</v>
      </c>
    </row>
    <row r="13" spans="1:15" ht="18" customHeight="1" x14ac:dyDescent="0.25">
      <c r="A13" s="4">
        <v>12</v>
      </c>
      <c r="B13" s="4" t="s">
        <v>43</v>
      </c>
      <c r="C13" s="4">
        <v>37318870</v>
      </c>
      <c r="D13" s="4">
        <v>3138370065</v>
      </c>
      <c r="E13" s="4" t="s">
        <v>44</v>
      </c>
      <c r="F13" s="4"/>
      <c r="G13" s="4" t="s">
        <v>22</v>
      </c>
      <c r="H13" s="4"/>
      <c r="I13" s="4"/>
      <c r="J13" s="4"/>
      <c r="K13" s="4"/>
      <c r="L13" s="4"/>
      <c r="M13" s="4"/>
      <c r="N13" s="4"/>
      <c r="O13" s="4">
        <v>999</v>
      </c>
    </row>
    <row r="14" spans="1:15" ht="18" customHeight="1" x14ac:dyDescent="0.25">
      <c r="A14" s="4">
        <v>13</v>
      </c>
      <c r="B14" s="4" t="s">
        <v>45</v>
      </c>
      <c r="C14" s="4">
        <v>1004864110</v>
      </c>
      <c r="D14" s="4">
        <v>3184592781</v>
      </c>
      <c r="E14" s="4" t="s">
        <v>46</v>
      </c>
      <c r="F14" s="4" t="s">
        <v>21</v>
      </c>
      <c r="G14" s="4" t="s">
        <v>22</v>
      </c>
      <c r="H14" s="4" t="s">
        <v>246</v>
      </c>
      <c r="I14" s="4" t="s">
        <v>247</v>
      </c>
      <c r="J14" s="4" t="s">
        <v>227</v>
      </c>
      <c r="K14" s="4" t="s">
        <v>247</v>
      </c>
      <c r="L14" s="4" t="s">
        <v>246</v>
      </c>
      <c r="M14" s="4" t="s">
        <v>227</v>
      </c>
      <c r="N14" s="4"/>
      <c r="O14" s="4">
        <v>999</v>
      </c>
    </row>
    <row r="15" spans="1:15" ht="18" customHeight="1" x14ac:dyDescent="0.25">
      <c r="A15" s="4">
        <v>14</v>
      </c>
      <c r="B15" s="4" t="s">
        <v>47</v>
      </c>
      <c r="C15" s="4">
        <v>5470631</v>
      </c>
      <c r="D15" s="4">
        <v>3222863338</v>
      </c>
      <c r="E15" s="4" t="s">
        <v>48</v>
      </c>
      <c r="F15" s="4" t="s">
        <v>21</v>
      </c>
      <c r="G15" s="4" t="s">
        <v>22</v>
      </c>
      <c r="H15" s="4" t="s">
        <v>248</v>
      </c>
      <c r="I15" s="4" t="s">
        <v>252</v>
      </c>
      <c r="J15" s="4" t="s">
        <v>251</v>
      </c>
      <c r="K15" s="4" t="s">
        <v>250</v>
      </c>
      <c r="L15" s="4" t="s">
        <v>249</v>
      </c>
      <c r="M15" s="4" t="s">
        <v>248</v>
      </c>
      <c r="N15" s="4"/>
      <c r="O15" s="4" t="s">
        <v>351</v>
      </c>
    </row>
    <row r="16" spans="1:15" ht="18" customHeight="1" x14ac:dyDescent="0.25">
      <c r="A16" s="4">
        <v>15</v>
      </c>
      <c r="B16" s="4" t="s">
        <v>49</v>
      </c>
      <c r="C16" s="4">
        <v>27745768</v>
      </c>
      <c r="D16" s="4">
        <v>3170935963</v>
      </c>
      <c r="E16" s="4"/>
      <c r="F16" s="4"/>
      <c r="G16" s="4" t="s">
        <v>22</v>
      </c>
      <c r="H16" s="4"/>
      <c r="I16" s="4"/>
      <c r="J16" s="4"/>
      <c r="K16" s="4"/>
      <c r="L16" s="4"/>
      <c r="M16" s="4"/>
      <c r="N16" s="4"/>
      <c r="O16" s="4">
        <v>999</v>
      </c>
    </row>
    <row r="17" spans="1:15" ht="18" customHeight="1" x14ac:dyDescent="0.25">
      <c r="A17" s="4">
        <v>16</v>
      </c>
      <c r="B17" s="4" t="s">
        <v>50</v>
      </c>
      <c r="C17" s="4">
        <v>1091679067</v>
      </c>
      <c r="D17" s="4">
        <v>3218161229</v>
      </c>
      <c r="E17" s="4" t="s">
        <v>51</v>
      </c>
      <c r="F17" s="4" t="s">
        <v>21</v>
      </c>
      <c r="G17" s="4" t="s">
        <v>22</v>
      </c>
      <c r="H17" s="4"/>
      <c r="I17" s="4"/>
      <c r="J17" s="4"/>
      <c r="K17" s="4"/>
      <c r="L17" s="4"/>
      <c r="M17" s="4"/>
      <c r="N17" s="4"/>
      <c r="O17" s="4">
        <v>999</v>
      </c>
    </row>
    <row r="18" spans="1:15" ht="18" customHeight="1" x14ac:dyDescent="0.25">
      <c r="A18" s="4">
        <v>17</v>
      </c>
      <c r="B18" s="4" t="s">
        <v>52</v>
      </c>
      <c r="C18" s="4">
        <v>1064840915</v>
      </c>
      <c r="D18" s="4">
        <v>3227883197</v>
      </c>
      <c r="E18" s="4" t="s">
        <v>53</v>
      </c>
      <c r="F18" s="4" t="s">
        <v>21</v>
      </c>
      <c r="G18" s="4" t="s">
        <v>22</v>
      </c>
      <c r="H18" s="4" t="s">
        <v>253</v>
      </c>
      <c r="I18" s="4" t="s">
        <v>254</v>
      </c>
      <c r="J18" s="4" t="s">
        <v>253</v>
      </c>
      <c r="K18" s="4" t="s">
        <v>254</v>
      </c>
      <c r="L18" s="4" t="s">
        <v>253</v>
      </c>
      <c r="M18" s="4" t="s">
        <v>254</v>
      </c>
      <c r="N18" s="4"/>
      <c r="O18" s="4">
        <v>999</v>
      </c>
    </row>
    <row r="19" spans="1:15" ht="18" customHeight="1" x14ac:dyDescent="0.25">
      <c r="A19" s="4">
        <v>18</v>
      </c>
      <c r="B19" s="4" t="s">
        <v>54</v>
      </c>
      <c r="C19" s="4">
        <v>5975221</v>
      </c>
      <c r="D19" s="4">
        <v>3134663843</v>
      </c>
      <c r="E19" s="4" t="s">
        <v>36</v>
      </c>
      <c r="F19" s="4"/>
      <c r="G19" s="4" t="s">
        <v>22</v>
      </c>
      <c r="H19" s="4" t="s">
        <v>241</v>
      </c>
      <c r="I19" s="4" t="s">
        <v>242</v>
      </c>
      <c r="J19" s="4" t="s">
        <v>241</v>
      </c>
      <c r="K19" s="4" t="s">
        <v>242</v>
      </c>
      <c r="L19" s="4" t="s">
        <v>241</v>
      </c>
      <c r="M19" s="4" t="s">
        <v>242</v>
      </c>
      <c r="N19" s="4"/>
      <c r="O19" s="4">
        <v>999</v>
      </c>
    </row>
    <row r="20" spans="1:15" ht="18" customHeight="1" x14ac:dyDescent="0.25">
      <c r="A20" s="4">
        <v>19</v>
      </c>
      <c r="B20" s="4" t="s">
        <v>55</v>
      </c>
      <c r="C20" s="4">
        <v>22828163</v>
      </c>
      <c r="D20" s="4">
        <v>3203167834</v>
      </c>
      <c r="E20" s="4" t="s">
        <v>56</v>
      </c>
      <c r="F20" s="4" t="s">
        <v>21</v>
      </c>
      <c r="G20" s="4" t="s">
        <v>22</v>
      </c>
      <c r="H20" s="4" t="s">
        <v>255</v>
      </c>
      <c r="I20" s="4" t="s">
        <v>256</v>
      </c>
      <c r="J20" s="4" t="s">
        <v>257</v>
      </c>
      <c r="K20" s="4" t="s">
        <v>258</v>
      </c>
      <c r="L20" s="4" t="s">
        <v>255</v>
      </c>
      <c r="M20" s="4" t="s">
        <v>256</v>
      </c>
      <c r="N20" s="4"/>
      <c r="O20" s="4">
        <v>999</v>
      </c>
    </row>
    <row r="21" spans="1:15" ht="18" customHeight="1" x14ac:dyDescent="0.25">
      <c r="A21" s="4">
        <v>20</v>
      </c>
      <c r="B21" s="4" t="s">
        <v>57</v>
      </c>
      <c r="C21" s="4">
        <v>88142844</v>
      </c>
      <c r="D21" s="4">
        <v>3157863157</v>
      </c>
      <c r="E21" s="4" t="s">
        <v>58</v>
      </c>
      <c r="F21" s="4"/>
      <c r="G21" s="4" t="s">
        <v>22</v>
      </c>
      <c r="H21" s="4"/>
      <c r="I21" s="4"/>
      <c r="J21" s="4"/>
      <c r="K21" s="4"/>
      <c r="L21" s="4"/>
      <c r="M21" s="4"/>
      <c r="N21" s="4"/>
      <c r="O21" s="4">
        <v>999</v>
      </c>
    </row>
    <row r="22" spans="1:15" ht="18" customHeight="1" x14ac:dyDescent="0.25">
      <c r="A22" s="4">
        <v>21</v>
      </c>
      <c r="B22" s="4" t="s">
        <v>59</v>
      </c>
      <c r="C22" s="4">
        <v>5459799</v>
      </c>
      <c r="D22" s="4">
        <v>3157863157</v>
      </c>
      <c r="E22" s="4" t="s">
        <v>60</v>
      </c>
      <c r="F22" s="4" t="s">
        <v>21</v>
      </c>
      <c r="G22" s="4" t="s">
        <v>22</v>
      </c>
      <c r="H22" s="4" t="s">
        <v>261</v>
      </c>
      <c r="I22" s="4" t="s">
        <v>259</v>
      </c>
      <c r="J22" s="4" t="s">
        <v>260</v>
      </c>
      <c r="K22" s="4" t="s">
        <v>259</v>
      </c>
      <c r="L22" s="4" t="s">
        <v>260</v>
      </c>
      <c r="M22" s="4" t="s">
        <v>259</v>
      </c>
      <c r="N22" s="4"/>
      <c r="O22" s="4">
        <v>999</v>
      </c>
    </row>
    <row r="23" spans="1:15" ht="18" customHeight="1" x14ac:dyDescent="0.25">
      <c r="A23" s="4">
        <v>22</v>
      </c>
      <c r="B23" s="4" t="s">
        <v>61</v>
      </c>
      <c r="C23" s="4">
        <v>13177382</v>
      </c>
      <c r="D23" s="4">
        <v>3242592568</v>
      </c>
      <c r="E23" s="4" t="s">
        <v>62</v>
      </c>
      <c r="F23" s="4" t="s">
        <v>21</v>
      </c>
      <c r="G23" s="4" t="s">
        <v>22</v>
      </c>
      <c r="H23" s="4" t="s">
        <v>262</v>
      </c>
      <c r="I23" s="4" t="s">
        <v>227</v>
      </c>
      <c r="J23" s="4" t="s">
        <v>262</v>
      </c>
      <c r="K23" s="4" t="s">
        <v>262</v>
      </c>
      <c r="L23" s="4" t="s">
        <v>227</v>
      </c>
      <c r="M23" s="4" t="s">
        <v>262</v>
      </c>
      <c r="N23" s="4"/>
      <c r="O23" s="4">
        <v>999</v>
      </c>
    </row>
    <row r="24" spans="1:15" ht="18" customHeight="1" x14ac:dyDescent="0.25">
      <c r="A24" s="4">
        <v>23</v>
      </c>
      <c r="B24" s="4" t="s">
        <v>63</v>
      </c>
      <c r="C24" s="4">
        <v>1757979</v>
      </c>
      <c r="D24" s="4">
        <v>3124722539</v>
      </c>
      <c r="E24" s="4" t="s">
        <v>64</v>
      </c>
      <c r="F24" s="4" t="s">
        <v>21</v>
      </c>
      <c r="G24" s="4" t="s">
        <v>22</v>
      </c>
      <c r="H24" s="4" t="s">
        <v>263</v>
      </c>
      <c r="I24" s="4" t="s">
        <v>263</v>
      </c>
      <c r="J24" s="4" t="s">
        <v>263</v>
      </c>
      <c r="K24" s="4" t="s">
        <v>263</v>
      </c>
      <c r="L24" s="4" t="s">
        <v>263</v>
      </c>
      <c r="M24" s="4" t="s">
        <v>263</v>
      </c>
      <c r="N24" s="4"/>
      <c r="O24" s="4">
        <v>999</v>
      </c>
    </row>
    <row r="25" spans="1:15" ht="18" customHeight="1" x14ac:dyDescent="0.25">
      <c r="A25" s="4">
        <v>24</v>
      </c>
      <c r="B25" s="4" t="s">
        <v>65</v>
      </c>
      <c r="C25" s="4">
        <v>6795346</v>
      </c>
      <c r="D25" s="4">
        <v>3134644769</v>
      </c>
      <c r="E25" s="4" t="s">
        <v>66</v>
      </c>
      <c r="F25" s="4" t="s">
        <v>21</v>
      </c>
      <c r="G25" s="4" t="s">
        <v>22</v>
      </c>
      <c r="H25" s="4" t="s">
        <v>264</v>
      </c>
      <c r="I25" s="4" t="s">
        <v>227</v>
      </c>
      <c r="J25" s="4" t="s">
        <v>265</v>
      </c>
      <c r="K25" s="4" t="s">
        <v>227</v>
      </c>
      <c r="L25" s="4" t="s">
        <v>264</v>
      </c>
      <c r="M25" s="4" t="s">
        <v>227</v>
      </c>
      <c r="N25" s="4"/>
      <c r="O25" s="4">
        <v>999</v>
      </c>
    </row>
    <row r="26" spans="1:15" ht="18" customHeight="1" x14ac:dyDescent="0.25">
      <c r="A26" s="4">
        <v>25</v>
      </c>
      <c r="B26" s="4" t="s">
        <v>67</v>
      </c>
      <c r="C26" s="4">
        <v>13360501</v>
      </c>
      <c r="D26" s="4" t="s">
        <v>24</v>
      </c>
      <c r="E26" s="4" t="s">
        <v>68</v>
      </c>
      <c r="F26" s="4" t="s">
        <v>21</v>
      </c>
      <c r="G26" s="4" t="s">
        <v>22</v>
      </c>
      <c r="H26" s="4" t="s">
        <v>266</v>
      </c>
      <c r="I26" s="4" t="s">
        <v>227</v>
      </c>
      <c r="J26" s="4" t="s">
        <v>266</v>
      </c>
      <c r="K26" s="4" t="s">
        <v>227</v>
      </c>
      <c r="L26" s="4" t="s">
        <v>266</v>
      </c>
      <c r="M26" s="4"/>
      <c r="N26" s="4"/>
      <c r="O26" s="4">
        <v>999</v>
      </c>
    </row>
    <row r="27" spans="1:15" ht="18" customHeight="1" x14ac:dyDescent="0.25">
      <c r="A27" s="4">
        <v>26</v>
      </c>
      <c r="B27" s="4" t="s">
        <v>69</v>
      </c>
      <c r="C27" s="4">
        <v>1148441078</v>
      </c>
      <c r="D27" s="4">
        <v>3163214416</v>
      </c>
      <c r="E27" s="4" t="s">
        <v>70</v>
      </c>
      <c r="F27" s="4" t="s">
        <v>21</v>
      </c>
      <c r="G27" s="4" t="s">
        <v>22</v>
      </c>
      <c r="H27" s="4" t="s">
        <v>267</v>
      </c>
      <c r="I27" s="4" t="s">
        <v>268</v>
      </c>
      <c r="J27" s="4" t="s">
        <v>267</v>
      </c>
      <c r="K27" s="4" t="s">
        <v>268</v>
      </c>
      <c r="L27" s="4" t="s">
        <v>267</v>
      </c>
      <c r="M27" s="4" t="s">
        <v>229</v>
      </c>
      <c r="N27" s="4"/>
      <c r="O27" s="4">
        <v>999</v>
      </c>
    </row>
    <row r="28" spans="1:15" ht="18" customHeight="1" x14ac:dyDescent="0.25">
      <c r="A28" s="4">
        <v>27</v>
      </c>
      <c r="B28" s="4" t="s">
        <v>71</v>
      </c>
      <c r="C28" s="4">
        <v>13363957</v>
      </c>
      <c r="D28" s="4">
        <v>3202965397</v>
      </c>
      <c r="E28" s="4" t="s">
        <v>72</v>
      </c>
      <c r="F28" s="4" t="s">
        <v>21</v>
      </c>
      <c r="G28" s="4" t="s">
        <v>22</v>
      </c>
      <c r="H28" s="4" t="s">
        <v>269</v>
      </c>
      <c r="I28" s="4" t="s">
        <v>227</v>
      </c>
      <c r="J28" s="4" t="s">
        <v>269</v>
      </c>
      <c r="K28" s="4" t="s">
        <v>227</v>
      </c>
      <c r="L28" s="4" t="s">
        <v>269</v>
      </c>
      <c r="M28" s="4" t="s">
        <v>227</v>
      </c>
      <c r="N28" s="4"/>
      <c r="O28" s="4">
        <v>999</v>
      </c>
    </row>
    <row r="29" spans="1:15" ht="18" customHeight="1" x14ac:dyDescent="0.25">
      <c r="A29" s="4">
        <v>28</v>
      </c>
      <c r="B29" s="4" t="s">
        <v>73</v>
      </c>
      <c r="C29" s="4">
        <v>88144580</v>
      </c>
      <c r="D29" s="4">
        <v>3124875596</v>
      </c>
      <c r="E29" s="4" t="s">
        <v>74</v>
      </c>
      <c r="F29" s="4" t="s">
        <v>21</v>
      </c>
      <c r="G29" s="4" t="s">
        <v>22</v>
      </c>
      <c r="H29" s="4" t="s">
        <v>270</v>
      </c>
      <c r="I29" s="4" t="s">
        <v>271</v>
      </c>
      <c r="J29" s="4" t="s">
        <v>270</v>
      </c>
      <c r="K29" s="4" t="s">
        <v>271</v>
      </c>
      <c r="L29" s="4" t="s">
        <v>270</v>
      </c>
      <c r="M29" s="4" t="s">
        <v>271</v>
      </c>
      <c r="N29" s="4"/>
      <c r="O29" s="4">
        <v>999</v>
      </c>
    </row>
    <row r="30" spans="1:15" ht="18" customHeight="1" x14ac:dyDescent="0.25">
      <c r="A30" s="4">
        <v>29</v>
      </c>
      <c r="B30" s="4" t="s">
        <v>75</v>
      </c>
      <c r="C30" s="4">
        <v>88135539</v>
      </c>
      <c r="D30" s="4">
        <v>3184667077</v>
      </c>
      <c r="E30" s="4" t="s">
        <v>76</v>
      </c>
      <c r="F30" s="4" t="s">
        <v>21</v>
      </c>
      <c r="G30" s="4" t="s">
        <v>22</v>
      </c>
      <c r="H30" s="4" t="s">
        <v>273</v>
      </c>
      <c r="I30" s="4" t="s">
        <v>272</v>
      </c>
      <c r="J30" s="4" t="s">
        <v>273</v>
      </c>
      <c r="K30" s="4" t="s">
        <v>272</v>
      </c>
      <c r="L30" s="4" t="s">
        <v>273</v>
      </c>
      <c r="M30" s="4" t="s">
        <v>272</v>
      </c>
      <c r="N30" s="4"/>
      <c r="O30" s="4">
        <v>999</v>
      </c>
    </row>
    <row r="31" spans="1:15" ht="18" customHeight="1" x14ac:dyDescent="0.25">
      <c r="A31" s="4">
        <v>30</v>
      </c>
      <c r="B31" s="4" t="s">
        <v>77</v>
      </c>
      <c r="C31" s="4">
        <v>88282716</v>
      </c>
      <c r="D31" s="4">
        <v>3145660303</v>
      </c>
      <c r="E31" s="4" t="s">
        <v>78</v>
      </c>
      <c r="F31" s="4" t="s">
        <v>21</v>
      </c>
      <c r="G31" s="4" t="s">
        <v>22</v>
      </c>
      <c r="H31" s="4" t="s">
        <v>246</v>
      </c>
      <c r="I31" s="4" t="s">
        <v>247</v>
      </c>
      <c r="J31" s="4" t="s">
        <v>227</v>
      </c>
      <c r="K31" s="4" t="s">
        <v>247</v>
      </c>
      <c r="L31" s="4" t="s">
        <v>246</v>
      </c>
      <c r="M31" s="4" t="s">
        <v>227</v>
      </c>
      <c r="N31" s="4"/>
      <c r="O31" s="4">
        <v>999</v>
      </c>
    </row>
    <row r="32" spans="1:15" ht="18" customHeight="1" x14ac:dyDescent="0.25">
      <c r="A32" s="4">
        <v>31</v>
      </c>
      <c r="B32" s="4" t="s">
        <v>79</v>
      </c>
      <c r="C32" s="4">
        <v>88278725</v>
      </c>
      <c r="D32" s="4">
        <v>3155962142</v>
      </c>
      <c r="E32" s="4" t="s">
        <v>80</v>
      </c>
      <c r="F32" s="4" t="s">
        <v>21</v>
      </c>
      <c r="G32" s="4" t="s">
        <v>22</v>
      </c>
      <c r="H32" s="4" t="s">
        <v>274</v>
      </c>
      <c r="I32" s="4" t="s">
        <v>275</v>
      </c>
      <c r="J32" s="4" t="s">
        <v>274</v>
      </c>
      <c r="K32" s="4" t="s">
        <v>275</v>
      </c>
      <c r="L32" s="4" t="s">
        <v>274</v>
      </c>
      <c r="M32" s="4" t="s">
        <v>275</v>
      </c>
      <c r="N32" s="4"/>
      <c r="O32" s="4">
        <v>999</v>
      </c>
    </row>
    <row r="33" spans="1:15" ht="18" customHeight="1" x14ac:dyDescent="0.25">
      <c r="A33" s="4">
        <v>32</v>
      </c>
      <c r="B33" s="4" t="s">
        <v>81</v>
      </c>
      <c r="C33" s="4">
        <v>5939636</v>
      </c>
      <c r="D33" s="4">
        <v>3209413329</v>
      </c>
      <c r="E33" s="4" t="s">
        <v>82</v>
      </c>
      <c r="F33" s="4" t="s">
        <v>21</v>
      </c>
      <c r="G33" s="4" t="s">
        <v>22</v>
      </c>
      <c r="H33" s="4" t="s">
        <v>276</v>
      </c>
      <c r="I33" s="4" t="s">
        <v>277</v>
      </c>
      <c r="J33" s="4" t="s">
        <v>276</v>
      </c>
      <c r="K33" s="4" t="s">
        <v>277</v>
      </c>
      <c r="L33" s="4" t="s">
        <v>276</v>
      </c>
      <c r="M33" s="4" t="s">
        <v>277</v>
      </c>
      <c r="N33" s="4"/>
      <c r="O33" s="4">
        <v>999</v>
      </c>
    </row>
    <row r="34" spans="1:15" ht="18" customHeight="1" x14ac:dyDescent="0.25">
      <c r="A34" s="4">
        <v>33</v>
      </c>
      <c r="B34" s="4" t="s">
        <v>83</v>
      </c>
      <c r="C34" s="4">
        <v>1091665187</v>
      </c>
      <c r="D34" s="4">
        <v>3138509164</v>
      </c>
      <c r="E34" s="4" t="s">
        <v>84</v>
      </c>
      <c r="F34" s="4" t="s">
        <v>21</v>
      </c>
      <c r="G34" s="4" t="s">
        <v>22</v>
      </c>
      <c r="H34" s="4" t="s">
        <v>279</v>
      </c>
      <c r="I34" s="4" t="s">
        <v>278</v>
      </c>
      <c r="J34" s="4" t="s">
        <v>279</v>
      </c>
      <c r="K34" s="4" t="s">
        <v>278</v>
      </c>
      <c r="L34" s="4" t="s">
        <v>279</v>
      </c>
      <c r="M34" s="4" t="s">
        <v>278</v>
      </c>
      <c r="N34" s="4"/>
      <c r="O34" s="4">
        <v>999</v>
      </c>
    </row>
    <row r="35" spans="1:15" ht="18" customHeight="1" x14ac:dyDescent="0.25">
      <c r="A35" s="4">
        <v>34</v>
      </c>
      <c r="B35" s="4" t="s">
        <v>85</v>
      </c>
      <c r="C35" s="4">
        <v>88141368</v>
      </c>
      <c r="D35" s="4">
        <v>3123674379</v>
      </c>
      <c r="E35" s="4" t="s">
        <v>86</v>
      </c>
      <c r="F35" s="4" t="s">
        <v>21</v>
      </c>
      <c r="G35" s="4" t="s">
        <v>22</v>
      </c>
      <c r="H35" s="4" t="s">
        <v>280</v>
      </c>
      <c r="I35" s="4" t="s">
        <v>281</v>
      </c>
      <c r="J35" s="4" t="s">
        <v>280</v>
      </c>
      <c r="K35" s="4" t="s">
        <v>281</v>
      </c>
      <c r="L35" s="4" t="s">
        <v>280</v>
      </c>
      <c r="M35" s="4" t="s">
        <v>281</v>
      </c>
      <c r="N35" s="4"/>
      <c r="O35" s="4">
        <v>999</v>
      </c>
    </row>
    <row r="36" spans="1:15" ht="18" customHeight="1" x14ac:dyDescent="0.25">
      <c r="A36" s="4">
        <v>35</v>
      </c>
      <c r="B36" s="4" t="s">
        <v>87</v>
      </c>
      <c r="C36" s="4">
        <v>10414025</v>
      </c>
      <c r="D36" s="4" t="s">
        <v>88</v>
      </c>
      <c r="E36" s="4" t="s">
        <v>89</v>
      </c>
      <c r="F36" s="4" t="s">
        <v>21</v>
      </c>
      <c r="G36" s="4" t="s">
        <v>22</v>
      </c>
      <c r="H36" s="4" t="s">
        <v>283</v>
      </c>
      <c r="I36" s="4" t="s">
        <v>282</v>
      </c>
      <c r="J36" s="4" t="s">
        <v>283</v>
      </c>
      <c r="K36" s="4" t="s">
        <v>282</v>
      </c>
      <c r="L36" s="4" t="s">
        <v>283</v>
      </c>
      <c r="M36" s="4" t="s">
        <v>282</v>
      </c>
      <c r="N36" s="4"/>
      <c r="O36" s="4">
        <v>999</v>
      </c>
    </row>
    <row r="37" spans="1:15" ht="18" customHeight="1" x14ac:dyDescent="0.25">
      <c r="A37" s="4">
        <v>36</v>
      </c>
      <c r="B37" s="4" t="s">
        <v>90</v>
      </c>
      <c r="C37" s="4">
        <v>5407511</v>
      </c>
      <c r="D37" s="4">
        <v>3214786131</v>
      </c>
      <c r="E37" s="4" t="s">
        <v>91</v>
      </c>
      <c r="F37" s="4" t="s">
        <v>21</v>
      </c>
      <c r="G37" s="4" t="s">
        <v>22</v>
      </c>
      <c r="H37" s="4" t="s">
        <v>285</v>
      </c>
      <c r="I37" s="4" t="s">
        <v>285</v>
      </c>
      <c r="J37" s="4" t="s">
        <v>285</v>
      </c>
      <c r="K37" s="4" t="s">
        <v>285</v>
      </c>
      <c r="L37" s="4" t="s">
        <v>285</v>
      </c>
      <c r="M37" s="4" t="s">
        <v>284</v>
      </c>
      <c r="N37" s="4"/>
      <c r="O37" s="4">
        <v>999</v>
      </c>
    </row>
    <row r="38" spans="1:15" ht="18" customHeight="1" x14ac:dyDescent="0.25">
      <c r="A38" s="4">
        <v>37</v>
      </c>
      <c r="B38" s="4" t="s">
        <v>92</v>
      </c>
      <c r="C38" s="4">
        <v>1091665460</v>
      </c>
      <c r="D38" s="4">
        <v>3213513501</v>
      </c>
      <c r="E38" s="4" t="s">
        <v>93</v>
      </c>
      <c r="F38" s="4" t="s">
        <v>21</v>
      </c>
      <c r="G38" s="4" t="s">
        <v>22</v>
      </c>
      <c r="H38" s="4" t="s">
        <v>286</v>
      </c>
      <c r="I38" s="4" t="s">
        <v>287</v>
      </c>
      <c r="J38" s="4" t="s">
        <v>288</v>
      </c>
      <c r="K38" s="4" t="s">
        <v>289</v>
      </c>
      <c r="L38" s="4" t="s">
        <v>290</v>
      </c>
      <c r="M38" s="4" t="s">
        <v>291</v>
      </c>
      <c r="N38" s="4"/>
      <c r="O38" s="4" t="s">
        <v>352</v>
      </c>
    </row>
    <row r="39" spans="1:15" ht="18" customHeight="1" x14ac:dyDescent="0.25">
      <c r="A39" s="4">
        <v>38</v>
      </c>
      <c r="B39" s="4" t="s">
        <v>94</v>
      </c>
      <c r="C39" s="4">
        <v>18927072</v>
      </c>
      <c r="D39" s="4">
        <v>3173736504</v>
      </c>
      <c r="E39" s="4" t="s">
        <v>95</v>
      </c>
      <c r="F39" s="4" t="s">
        <v>21</v>
      </c>
      <c r="G39" s="4" t="s">
        <v>22</v>
      </c>
      <c r="H39" s="4" t="s">
        <v>293</v>
      </c>
      <c r="I39" s="4" t="s">
        <v>292</v>
      </c>
      <c r="J39" s="4" t="s">
        <v>293</v>
      </c>
      <c r="K39" s="4" t="s">
        <v>292</v>
      </c>
      <c r="L39" s="4" t="s">
        <v>293</v>
      </c>
      <c r="M39" s="4" t="s">
        <v>292</v>
      </c>
      <c r="N39" s="4"/>
      <c r="O39" s="4">
        <v>999</v>
      </c>
    </row>
    <row r="40" spans="1:15" ht="18" customHeight="1" x14ac:dyDescent="0.25">
      <c r="A40" s="4">
        <v>39</v>
      </c>
      <c r="B40" s="4" t="s">
        <v>96</v>
      </c>
      <c r="C40" s="4">
        <v>1091666187</v>
      </c>
      <c r="D40" s="4">
        <v>3173466973</v>
      </c>
      <c r="E40" s="4" t="s">
        <v>97</v>
      </c>
      <c r="F40" s="4" t="s">
        <v>21</v>
      </c>
      <c r="G40" s="4" t="s">
        <v>22</v>
      </c>
      <c r="H40" s="4" t="s">
        <v>286</v>
      </c>
      <c r="I40" s="4" t="s">
        <v>287</v>
      </c>
      <c r="J40" s="4" t="s">
        <v>288</v>
      </c>
      <c r="K40" s="4" t="s">
        <v>289</v>
      </c>
      <c r="L40" s="4" t="s">
        <v>294</v>
      </c>
      <c r="M40" s="4" t="s">
        <v>291</v>
      </c>
      <c r="N40" s="4"/>
      <c r="O40" s="4" t="s">
        <v>352</v>
      </c>
    </row>
    <row r="41" spans="1:15" ht="18" customHeight="1" x14ac:dyDescent="0.25">
      <c r="A41" s="4">
        <v>40</v>
      </c>
      <c r="B41" s="4" t="s">
        <v>98</v>
      </c>
      <c r="C41" s="4">
        <v>6139958</v>
      </c>
      <c r="D41" s="4">
        <v>3144792570</v>
      </c>
      <c r="E41" s="4" t="s">
        <v>99</v>
      </c>
      <c r="F41" s="4" t="s">
        <v>21</v>
      </c>
      <c r="G41" s="4" t="s">
        <v>22</v>
      </c>
      <c r="H41" s="4" t="s">
        <v>296</v>
      </c>
      <c r="I41" s="4" t="s">
        <v>295</v>
      </c>
      <c r="J41" s="4" t="s">
        <v>296</v>
      </c>
      <c r="K41" s="4" t="s">
        <v>295</v>
      </c>
      <c r="L41" s="4" t="s">
        <v>296</v>
      </c>
      <c r="M41" s="4" t="s">
        <v>295</v>
      </c>
      <c r="N41" s="4"/>
      <c r="O41" s="4">
        <v>999</v>
      </c>
    </row>
    <row r="42" spans="1:15" ht="18" customHeight="1" x14ac:dyDescent="0.25">
      <c r="A42" s="4">
        <v>41</v>
      </c>
      <c r="B42" s="4" t="s">
        <v>100</v>
      </c>
      <c r="C42" s="4">
        <v>1090983652</v>
      </c>
      <c r="D42" s="4">
        <v>3027419910</v>
      </c>
      <c r="E42" s="4" t="s">
        <v>101</v>
      </c>
      <c r="F42" s="4" t="s">
        <v>21</v>
      </c>
      <c r="G42" s="4" t="s">
        <v>22</v>
      </c>
      <c r="H42" s="4"/>
      <c r="I42" s="4"/>
      <c r="J42" s="4"/>
      <c r="K42" s="4"/>
      <c r="L42" s="4"/>
      <c r="M42" s="4"/>
      <c r="N42" s="4"/>
      <c r="O42" s="4">
        <v>999</v>
      </c>
    </row>
    <row r="43" spans="1:15" ht="18" customHeight="1" x14ac:dyDescent="0.25">
      <c r="A43" s="4">
        <v>42</v>
      </c>
      <c r="B43" s="4" t="s">
        <v>102</v>
      </c>
      <c r="C43" s="4">
        <v>5343719</v>
      </c>
      <c r="D43" s="4">
        <v>3227729195</v>
      </c>
      <c r="E43" s="4" t="s">
        <v>103</v>
      </c>
      <c r="F43" s="4" t="s">
        <v>21</v>
      </c>
      <c r="G43" s="4" t="s">
        <v>22</v>
      </c>
      <c r="H43" s="4"/>
      <c r="I43" s="4"/>
      <c r="J43" s="4"/>
      <c r="K43" s="4"/>
      <c r="L43" s="4"/>
      <c r="M43" s="4"/>
      <c r="N43" s="4"/>
      <c r="O43" s="4">
        <v>999</v>
      </c>
    </row>
    <row r="44" spans="1:15" ht="18" customHeight="1" x14ac:dyDescent="0.25">
      <c r="A44" s="4">
        <v>43</v>
      </c>
      <c r="B44" s="4" t="s">
        <v>104</v>
      </c>
      <c r="C44" s="4">
        <v>13083028</v>
      </c>
      <c r="D44" s="4">
        <v>3164274415</v>
      </c>
      <c r="E44" s="4" t="s">
        <v>105</v>
      </c>
      <c r="F44" s="4"/>
      <c r="G44" s="4" t="s">
        <v>22</v>
      </c>
      <c r="H44" s="4" t="s">
        <v>253</v>
      </c>
      <c r="I44" s="4" t="s">
        <v>254</v>
      </c>
      <c r="J44" s="4" t="s">
        <v>253</v>
      </c>
      <c r="K44" s="4" t="s">
        <v>254</v>
      </c>
      <c r="L44" s="4" t="s">
        <v>253</v>
      </c>
      <c r="M44" s="4" t="s">
        <v>254</v>
      </c>
      <c r="N44" s="4"/>
      <c r="O44" s="4">
        <v>999</v>
      </c>
    </row>
    <row r="45" spans="1:15" ht="18" customHeight="1" x14ac:dyDescent="0.25">
      <c r="A45" s="4">
        <v>44</v>
      </c>
      <c r="B45" s="4" t="s">
        <v>106</v>
      </c>
      <c r="C45" s="4">
        <v>13255395</v>
      </c>
      <c r="D45" s="4">
        <v>3102736552</v>
      </c>
      <c r="E45" s="4" t="s">
        <v>107</v>
      </c>
      <c r="F45" s="4" t="s">
        <v>21</v>
      </c>
      <c r="G45" s="4" t="s">
        <v>22</v>
      </c>
      <c r="H45" s="4" t="s">
        <v>299</v>
      </c>
      <c r="I45" s="4" t="s">
        <v>299</v>
      </c>
      <c r="J45" s="4" t="s">
        <v>299</v>
      </c>
      <c r="K45" s="4" t="s">
        <v>299</v>
      </c>
      <c r="L45" s="4" t="s">
        <v>299</v>
      </c>
      <c r="M45" s="4" t="s">
        <v>227</v>
      </c>
      <c r="N45" s="4"/>
      <c r="O45" s="4">
        <v>999</v>
      </c>
    </row>
    <row r="46" spans="1:15" ht="18" customHeight="1" x14ac:dyDescent="0.25">
      <c r="A46" s="4">
        <v>45</v>
      </c>
      <c r="B46" s="4" t="s">
        <v>108</v>
      </c>
      <c r="C46" s="4">
        <v>88144329</v>
      </c>
      <c r="D46" s="4">
        <v>3204562658</v>
      </c>
      <c r="E46" s="4" t="s">
        <v>109</v>
      </c>
      <c r="F46" s="4" t="s">
        <v>21</v>
      </c>
      <c r="G46" s="4" t="s">
        <v>22</v>
      </c>
      <c r="H46" s="4" t="s">
        <v>298</v>
      </c>
      <c r="I46" s="4" t="s">
        <v>297</v>
      </c>
      <c r="J46" s="4" t="s">
        <v>298</v>
      </c>
      <c r="K46" s="4" t="s">
        <v>297</v>
      </c>
      <c r="L46" s="4" t="s">
        <v>298</v>
      </c>
      <c r="M46" s="4" t="s">
        <v>297</v>
      </c>
      <c r="N46" s="4"/>
      <c r="O46" s="4">
        <v>999</v>
      </c>
    </row>
    <row r="47" spans="1:15" ht="18" customHeight="1" x14ac:dyDescent="0.25">
      <c r="A47" s="4">
        <v>46</v>
      </c>
      <c r="B47" s="4" t="s">
        <v>110</v>
      </c>
      <c r="C47" s="4">
        <v>37329146</v>
      </c>
      <c r="D47" s="4">
        <v>3224131978</v>
      </c>
      <c r="E47" s="4" t="s">
        <v>111</v>
      </c>
      <c r="F47" s="4" t="s">
        <v>21</v>
      </c>
      <c r="G47" s="4" t="s">
        <v>22</v>
      </c>
      <c r="H47" s="4" t="s">
        <v>269</v>
      </c>
      <c r="I47" s="4" t="s">
        <v>227</v>
      </c>
      <c r="J47" s="4" t="s">
        <v>269</v>
      </c>
      <c r="K47" s="4" t="s">
        <v>227</v>
      </c>
      <c r="L47" s="4" t="s">
        <v>269</v>
      </c>
      <c r="M47" s="4" t="s">
        <v>227</v>
      </c>
      <c r="N47" s="4"/>
      <c r="O47" s="4">
        <v>999</v>
      </c>
    </row>
    <row r="48" spans="1:15" ht="18" customHeight="1" x14ac:dyDescent="0.25">
      <c r="A48" s="4">
        <v>47</v>
      </c>
      <c r="B48" s="4" t="s">
        <v>112</v>
      </c>
      <c r="C48" s="4">
        <v>37314486</v>
      </c>
      <c r="D48" s="4">
        <v>3167291735</v>
      </c>
      <c r="E48" s="4" t="s">
        <v>113</v>
      </c>
      <c r="F48" s="4" t="s">
        <v>21</v>
      </c>
      <c r="G48" s="4" t="s">
        <v>22</v>
      </c>
      <c r="H48" s="4" t="s">
        <v>235</v>
      </c>
      <c r="I48" s="4" t="s">
        <v>236</v>
      </c>
      <c r="J48" s="4" t="s">
        <v>237</v>
      </c>
      <c r="K48" s="4" t="s">
        <v>235</v>
      </c>
      <c r="L48" s="4" t="s">
        <v>236</v>
      </c>
      <c r="M48" s="4" t="s">
        <v>227</v>
      </c>
      <c r="N48" s="4"/>
      <c r="O48" s="4">
        <v>999</v>
      </c>
    </row>
    <row r="49" spans="1:15" ht="18" customHeight="1" x14ac:dyDescent="0.25">
      <c r="A49" s="4">
        <v>48</v>
      </c>
      <c r="B49" s="4" t="s">
        <v>114</v>
      </c>
      <c r="C49" s="4">
        <v>53128896</v>
      </c>
      <c r="D49" s="4"/>
      <c r="E49" s="4" t="s">
        <v>29</v>
      </c>
      <c r="F49" s="4"/>
      <c r="G49" s="4" t="s">
        <v>22</v>
      </c>
      <c r="H49" s="4"/>
      <c r="I49" s="4"/>
      <c r="J49" s="4"/>
      <c r="K49" s="4"/>
      <c r="L49" s="4"/>
      <c r="M49" s="4"/>
      <c r="N49" s="4"/>
      <c r="O49" s="4">
        <v>999</v>
      </c>
    </row>
    <row r="50" spans="1:15" ht="18" customHeight="1" x14ac:dyDescent="0.25">
      <c r="A50" s="4">
        <v>49</v>
      </c>
      <c r="B50" s="4" t="s">
        <v>115</v>
      </c>
      <c r="C50" s="4">
        <v>27741571</v>
      </c>
      <c r="D50" s="4" t="s">
        <v>24</v>
      </c>
      <c r="E50" s="4" t="s">
        <v>116</v>
      </c>
      <c r="F50" s="4" t="s">
        <v>21</v>
      </c>
      <c r="G50" s="4" t="s">
        <v>22</v>
      </c>
      <c r="H50" s="4" t="s">
        <v>300</v>
      </c>
      <c r="I50" s="4" t="s">
        <v>301</v>
      </c>
      <c r="J50" s="4" t="s">
        <v>300</v>
      </c>
      <c r="K50" s="4" t="s">
        <v>301</v>
      </c>
      <c r="L50" s="4" t="s">
        <v>300</v>
      </c>
      <c r="M50" s="4" t="s">
        <v>227</v>
      </c>
      <c r="N50" s="4"/>
      <c r="O50" s="4">
        <v>999</v>
      </c>
    </row>
    <row r="51" spans="1:15" ht="18" customHeight="1" x14ac:dyDescent="0.25">
      <c r="A51" s="4">
        <v>50</v>
      </c>
      <c r="B51" s="4" t="s">
        <v>117</v>
      </c>
      <c r="C51" s="4">
        <v>88281493</v>
      </c>
      <c r="D51" s="4">
        <v>3107964539</v>
      </c>
      <c r="E51" s="4" t="s">
        <v>118</v>
      </c>
      <c r="F51" s="4" t="s">
        <v>21</v>
      </c>
      <c r="G51" s="4" t="s">
        <v>22</v>
      </c>
      <c r="H51" s="4" t="s">
        <v>248</v>
      </c>
      <c r="I51" s="4" t="s">
        <v>252</v>
      </c>
      <c r="J51" s="4" t="s">
        <v>251</v>
      </c>
      <c r="K51" s="4" t="s">
        <v>250</v>
      </c>
      <c r="L51" s="4" t="s">
        <v>249</v>
      </c>
      <c r="M51" s="4" t="s">
        <v>248</v>
      </c>
      <c r="N51" s="4"/>
      <c r="O51" s="4" t="s">
        <v>351</v>
      </c>
    </row>
    <row r="52" spans="1:15" ht="18" customHeight="1" x14ac:dyDescent="0.25">
      <c r="A52" s="4">
        <v>51</v>
      </c>
      <c r="B52" s="4" t="s">
        <v>119</v>
      </c>
      <c r="C52" s="4">
        <v>37314167</v>
      </c>
      <c r="D52" s="4">
        <v>3124599012</v>
      </c>
      <c r="E52" s="4" t="s">
        <v>120</v>
      </c>
      <c r="F52" s="4" t="s">
        <v>21</v>
      </c>
      <c r="G52" s="4" t="s">
        <v>22</v>
      </c>
      <c r="H52" s="4" t="s">
        <v>302</v>
      </c>
      <c r="I52" s="4" t="s">
        <v>302</v>
      </c>
      <c r="J52" s="4" t="s">
        <v>227</v>
      </c>
      <c r="K52" s="4" t="s">
        <v>303</v>
      </c>
      <c r="L52" s="4" t="s">
        <v>227</v>
      </c>
      <c r="M52" s="4" t="s">
        <v>302</v>
      </c>
      <c r="N52" s="4"/>
      <c r="O52" s="4">
        <v>999</v>
      </c>
    </row>
    <row r="53" spans="1:15" ht="18" customHeight="1" x14ac:dyDescent="0.25">
      <c r="A53" s="4">
        <v>52</v>
      </c>
      <c r="B53" s="4" t="s">
        <v>121</v>
      </c>
      <c r="C53" s="4">
        <v>37321325</v>
      </c>
      <c r="D53" s="4">
        <v>3163419136</v>
      </c>
      <c r="E53" s="4" t="s">
        <v>122</v>
      </c>
      <c r="F53" s="4" t="s">
        <v>21</v>
      </c>
      <c r="G53" s="4" t="s">
        <v>22</v>
      </c>
      <c r="H53" s="4" t="s">
        <v>286</v>
      </c>
      <c r="I53" s="4" t="s">
        <v>287</v>
      </c>
      <c r="J53" s="4" t="s">
        <v>288</v>
      </c>
      <c r="K53" s="4" t="s">
        <v>289</v>
      </c>
      <c r="L53" s="4" t="s">
        <v>290</v>
      </c>
      <c r="M53" s="4" t="s">
        <v>291</v>
      </c>
      <c r="N53" s="4"/>
      <c r="O53" s="4" t="s">
        <v>352</v>
      </c>
    </row>
    <row r="54" spans="1:15" ht="18" customHeight="1" x14ac:dyDescent="0.25">
      <c r="A54" s="4">
        <v>53</v>
      </c>
      <c r="B54" s="4" t="s">
        <v>123</v>
      </c>
      <c r="C54" s="4">
        <v>5628531</v>
      </c>
      <c r="D54" s="4">
        <v>3227499525</v>
      </c>
      <c r="E54" s="4" t="s">
        <v>124</v>
      </c>
      <c r="F54" s="4" t="s">
        <v>21</v>
      </c>
      <c r="G54" s="4" t="s">
        <v>22</v>
      </c>
      <c r="H54" s="4" t="s">
        <v>304</v>
      </c>
      <c r="I54" s="4" t="s">
        <v>227</v>
      </c>
      <c r="J54" s="4" t="s">
        <v>304</v>
      </c>
      <c r="K54" s="4" t="s">
        <v>227</v>
      </c>
      <c r="L54" s="4" t="s">
        <v>304</v>
      </c>
      <c r="M54" s="4" t="s">
        <v>227</v>
      </c>
      <c r="N54" s="4"/>
      <c r="O54" s="4">
        <v>999</v>
      </c>
    </row>
    <row r="55" spans="1:15" ht="18" customHeight="1" x14ac:dyDescent="0.25">
      <c r="A55" s="4">
        <v>54</v>
      </c>
      <c r="B55" s="4" t="s">
        <v>125</v>
      </c>
      <c r="C55" s="4">
        <v>13355853</v>
      </c>
      <c r="D55" s="4">
        <v>3124722539</v>
      </c>
      <c r="E55" s="4" t="s">
        <v>126</v>
      </c>
      <c r="F55" s="4" t="s">
        <v>21</v>
      </c>
      <c r="G55" s="4" t="s">
        <v>22</v>
      </c>
      <c r="H55" s="4" t="s">
        <v>305</v>
      </c>
      <c r="I55" s="4" t="s">
        <v>306</v>
      </c>
      <c r="J55" s="4" t="s">
        <v>305</v>
      </c>
      <c r="K55" s="4" t="s">
        <v>306</v>
      </c>
      <c r="L55" s="4" t="s">
        <v>305</v>
      </c>
      <c r="M55" s="4" t="s">
        <v>227</v>
      </c>
      <c r="N55" s="4"/>
      <c r="O55" s="4">
        <v>999</v>
      </c>
    </row>
    <row r="56" spans="1:15" ht="18" customHeight="1" x14ac:dyDescent="0.25">
      <c r="A56" s="4">
        <v>55</v>
      </c>
      <c r="B56" s="4" t="s">
        <v>127</v>
      </c>
      <c r="C56" s="4">
        <v>1977869</v>
      </c>
      <c r="D56" s="4">
        <v>3137633191</v>
      </c>
      <c r="E56" s="4" t="s">
        <v>128</v>
      </c>
      <c r="F56" s="4" t="s">
        <v>21</v>
      </c>
      <c r="G56" s="4" t="s">
        <v>22</v>
      </c>
      <c r="H56" s="4" t="s">
        <v>308</v>
      </c>
      <c r="I56" s="4" t="s">
        <v>307</v>
      </c>
      <c r="J56" s="4" t="s">
        <v>308</v>
      </c>
      <c r="K56" s="4" t="s">
        <v>307</v>
      </c>
      <c r="L56" s="4" t="s">
        <v>308</v>
      </c>
      <c r="M56" s="4" t="s">
        <v>307</v>
      </c>
      <c r="N56" s="4"/>
      <c r="O56" s="4">
        <v>999</v>
      </c>
    </row>
    <row r="57" spans="1:15" ht="18" customHeight="1" x14ac:dyDescent="0.25">
      <c r="A57" s="4">
        <v>56</v>
      </c>
      <c r="B57" s="4" t="s">
        <v>129</v>
      </c>
      <c r="C57" s="4">
        <v>6133488</v>
      </c>
      <c r="D57" s="4">
        <v>3204638127</v>
      </c>
      <c r="E57" s="4" t="s">
        <v>99</v>
      </c>
      <c r="F57" s="4" t="s">
        <v>21</v>
      </c>
      <c r="G57" s="4" t="s">
        <v>22</v>
      </c>
      <c r="H57" s="4" t="s">
        <v>296</v>
      </c>
      <c r="I57" s="4" t="s">
        <v>295</v>
      </c>
      <c r="J57" s="4" t="s">
        <v>296</v>
      </c>
      <c r="K57" s="4" t="s">
        <v>295</v>
      </c>
      <c r="L57" s="4" t="s">
        <v>296</v>
      </c>
      <c r="M57" s="4" t="s">
        <v>295</v>
      </c>
      <c r="N57" s="4"/>
      <c r="O57" s="4">
        <v>999</v>
      </c>
    </row>
    <row r="58" spans="1:15" ht="18" customHeight="1" x14ac:dyDescent="0.25">
      <c r="A58" s="4">
        <v>57</v>
      </c>
      <c r="B58" s="4" t="s">
        <v>130</v>
      </c>
      <c r="C58" s="4">
        <v>13357525</v>
      </c>
      <c r="D58" s="4">
        <v>3142364430</v>
      </c>
      <c r="E58" s="4" t="s">
        <v>131</v>
      </c>
      <c r="F58" s="4" t="s">
        <v>21</v>
      </c>
      <c r="G58" s="4" t="s">
        <v>22</v>
      </c>
      <c r="H58" s="4" t="s">
        <v>309</v>
      </c>
      <c r="I58" s="4" t="s">
        <v>227</v>
      </c>
      <c r="J58" s="4" t="s">
        <v>309</v>
      </c>
      <c r="K58" s="4" t="s">
        <v>227</v>
      </c>
      <c r="L58" s="4" t="s">
        <v>309</v>
      </c>
      <c r="M58" s="4" t="s">
        <v>227</v>
      </c>
      <c r="N58" s="4"/>
      <c r="O58" s="4">
        <v>999</v>
      </c>
    </row>
    <row r="59" spans="1:15" ht="18" customHeight="1" x14ac:dyDescent="0.25">
      <c r="A59" s="4">
        <v>58</v>
      </c>
      <c r="B59" s="4" t="s">
        <v>132</v>
      </c>
      <c r="C59" s="4">
        <v>1091659860</v>
      </c>
      <c r="D59" s="4">
        <v>3123129003</v>
      </c>
      <c r="E59" s="4" t="s">
        <v>133</v>
      </c>
      <c r="F59" s="4" t="s">
        <v>21</v>
      </c>
      <c r="G59" s="4" t="s">
        <v>22</v>
      </c>
      <c r="H59" s="4" t="s">
        <v>311</v>
      </c>
      <c r="I59" s="4" t="s">
        <v>310</v>
      </c>
      <c r="J59" s="4" t="s">
        <v>311</v>
      </c>
      <c r="K59" s="4" t="s">
        <v>310</v>
      </c>
      <c r="L59" s="4" t="s">
        <v>311</v>
      </c>
      <c r="M59" s="4" t="s">
        <v>310</v>
      </c>
      <c r="N59" s="4"/>
      <c r="O59" s="4">
        <v>999</v>
      </c>
    </row>
    <row r="60" spans="1:15" ht="18" customHeight="1" x14ac:dyDescent="0.25">
      <c r="A60" s="4">
        <v>59</v>
      </c>
      <c r="B60" s="4" t="s">
        <v>314</v>
      </c>
      <c r="C60" s="4">
        <v>77035871</v>
      </c>
      <c r="D60" s="4">
        <v>3107589836</v>
      </c>
      <c r="E60" s="4" t="s">
        <v>134</v>
      </c>
      <c r="F60" s="4" t="s">
        <v>21</v>
      </c>
      <c r="G60" s="4" t="s">
        <v>22</v>
      </c>
      <c r="H60" s="4" t="s">
        <v>313</v>
      </c>
      <c r="I60" s="4" t="s">
        <v>227</v>
      </c>
      <c r="J60" s="4" t="s">
        <v>313</v>
      </c>
      <c r="K60" s="4" t="s">
        <v>227</v>
      </c>
      <c r="L60" s="4" t="s">
        <v>313</v>
      </c>
      <c r="M60" s="4" t="s">
        <v>312</v>
      </c>
      <c r="N60" s="4"/>
      <c r="O60" s="4">
        <v>999</v>
      </c>
    </row>
    <row r="61" spans="1:15" ht="18" customHeight="1" x14ac:dyDescent="0.25">
      <c r="A61" s="4">
        <v>60</v>
      </c>
      <c r="B61" s="4" t="s">
        <v>135</v>
      </c>
      <c r="C61" s="4">
        <v>5505189</v>
      </c>
      <c r="D61" s="4">
        <v>3153796880</v>
      </c>
      <c r="E61" s="4" t="s">
        <v>136</v>
      </c>
      <c r="F61" s="4" t="s">
        <v>21</v>
      </c>
      <c r="G61" s="4" t="s">
        <v>22</v>
      </c>
      <c r="H61" s="4" t="s">
        <v>317</v>
      </c>
      <c r="I61" s="4" t="s">
        <v>316</v>
      </c>
      <c r="J61" s="4" t="s">
        <v>315</v>
      </c>
      <c r="K61" s="4" t="s">
        <v>227</v>
      </c>
      <c r="L61" s="4" t="s">
        <v>227</v>
      </c>
      <c r="M61" s="4" t="s">
        <v>227</v>
      </c>
      <c r="N61" s="4"/>
      <c r="O61" s="4">
        <v>999</v>
      </c>
    </row>
    <row r="62" spans="1:15" ht="18" customHeight="1" x14ac:dyDescent="0.25">
      <c r="A62" s="4">
        <v>61</v>
      </c>
      <c r="B62" s="4" t="s">
        <v>137</v>
      </c>
      <c r="C62" s="4">
        <v>88141234</v>
      </c>
      <c r="D62" s="4">
        <v>3138904038</v>
      </c>
      <c r="E62" s="4" t="s">
        <v>138</v>
      </c>
      <c r="F62" s="4" t="s">
        <v>21</v>
      </c>
      <c r="G62" s="4" t="s">
        <v>22</v>
      </c>
      <c r="H62" s="4" t="s">
        <v>318</v>
      </c>
      <c r="I62" s="4" t="s">
        <v>319</v>
      </c>
      <c r="J62" s="4" t="s">
        <v>318</v>
      </c>
      <c r="K62" s="4" t="s">
        <v>319</v>
      </c>
      <c r="L62" s="4" t="s">
        <v>318</v>
      </c>
      <c r="M62" s="4" t="s">
        <v>320</v>
      </c>
      <c r="N62" s="4"/>
      <c r="O62" s="4">
        <v>999</v>
      </c>
    </row>
    <row r="63" spans="1:15" ht="18" customHeight="1" x14ac:dyDescent="0.25">
      <c r="A63" s="4">
        <v>62</v>
      </c>
      <c r="B63" s="4" t="s">
        <v>139</v>
      </c>
      <c r="C63" s="4">
        <v>13362644</v>
      </c>
      <c r="D63" s="4">
        <v>3184809772</v>
      </c>
      <c r="E63" s="4" t="s">
        <v>140</v>
      </c>
      <c r="F63" s="4" t="s">
        <v>21</v>
      </c>
      <c r="G63" s="4" t="s">
        <v>22</v>
      </c>
      <c r="H63" s="4" t="s">
        <v>322</v>
      </c>
      <c r="I63" s="4" t="s">
        <v>323</v>
      </c>
      <c r="J63" s="4" t="s">
        <v>324</v>
      </c>
      <c r="K63" s="4" t="s">
        <v>323</v>
      </c>
      <c r="L63" s="4" t="s">
        <v>322</v>
      </c>
      <c r="M63" s="4" t="s">
        <v>321</v>
      </c>
      <c r="N63" s="4"/>
      <c r="O63" s="4">
        <v>999</v>
      </c>
    </row>
    <row r="64" spans="1:15" ht="18" customHeight="1" x14ac:dyDescent="0.25">
      <c r="A64" s="4">
        <v>63</v>
      </c>
      <c r="B64" s="4" t="s">
        <v>141</v>
      </c>
      <c r="C64" s="4">
        <v>37160599</v>
      </c>
      <c r="D64" s="4">
        <v>3134506782</v>
      </c>
      <c r="E64" s="4" t="s">
        <v>142</v>
      </c>
      <c r="F64" s="4" t="s">
        <v>21</v>
      </c>
      <c r="G64" s="4" t="s">
        <v>22</v>
      </c>
      <c r="H64" s="4"/>
      <c r="I64" s="4"/>
      <c r="J64" s="4"/>
      <c r="K64" s="4"/>
      <c r="L64" s="4"/>
      <c r="M64" s="4"/>
      <c r="N64" s="4"/>
      <c r="O64" s="4">
        <v>999</v>
      </c>
    </row>
    <row r="65" spans="1:15" ht="18" customHeight="1" x14ac:dyDescent="0.25">
      <c r="A65" s="4">
        <v>64</v>
      </c>
      <c r="B65" s="4" t="s">
        <v>143</v>
      </c>
      <c r="C65" s="4">
        <v>27851618</v>
      </c>
      <c r="D65" s="4">
        <v>3227761885</v>
      </c>
      <c r="E65" s="4" t="s">
        <v>144</v>
      </c>
      <c r="F65" s="4" t="s">
        <v>21</v>
      </c>
      <c r="G65" s="4" t="s">
        <v>22</v>
      </c>
      <c r="H65" s="4" t="s">
        <v>286</v>
      </c>
      <c r="I65" s="4" t="s">
        <v>287</v>
      </c>
      <c r="J65" s="4" t="s">
        <v>288</v>
      </c>
      <c r="K65" s="4" t="s">
        <v>289</v>
      </c>
      <c r="L65" s="4" t="s">
        <v>290</v>
      </c>
      <c r="M65" s="4" t="s">
        <v>291</v>
      </c>
      <c r="N65" s="4"/>
      <c r="O65" s="4" t="s">
        <v>352</v>
      </c>
    </row>
    <row r="66" spans="1:15" ht="18" customHeight="1" x14ac:dyDescent="0.25">
      <c r="A66" s="4">
        <v>65</v>
      </c>
      <c r="B66" s="4" t="s">
        <v>145</v>
      </c>
      <c r="C66" s="4">
        <v>37371040</v>
      </c>
      <c r="D66" s="4">
        <v>320897486</v>
      </c>
      <c r="E66" s="4" t="s">
        <v>146</v>
      </c>
      <c r="F66" s="4"/>
      <c r="G66" s="4" t="s">
        <v>22</v>
      </c>
      <c r="H66" s="4"/>
      <c r="I66" s="4"/>
      <c r="J66" s="4"/>
      <c r="K66" s="4"/>
      <c r="L66" s="4"/>
      <c r="M66" s="4"/>
      <c r="N66" s="4"/>
      <c r="O66" s="4">
        <v>999</v>
      </c>
    </row>
    <row r="67" spans="1:15" ht="18" customHeight="1" x14ac:dyDescent="0.25">
      <c r="A67" s="4">
        <v>66</v>
      </c>
      <c r="B67" s="4" t="s">
        <v>147</v>
      </c>
      <c r="C67" s="4">
        <v>37316619</v>
      </c>
      <c r="D67" s="4">
        <v>3183373342</v>
      </c>
      <c r="E67" s="4" t="s">
        <v>62</v>
      </c>
      <c r="F67" s="4" t="s">
        <v>21</v>
      </c>
      <c r="G67" s="4" t="s">
        <v>22</v>
      </c>
      <c r="H67" s="4" t="s">
        <v>262</v>
      </c>
      <c r="I67" s="4" t="s">
        <v>227</v>
      </c>
      <c r="J67" s="4" t="s">
        <v>262</v>
      </c>
      <c r="K67" s="4" t="s">
        <v>262</v>
      </c>
      <c r="L67" s="4" t="s">
        <v>227</v>
      </c>
      <c r="M67" s="4" t="s">
        <v>262</v>
      </c>
      <c r="N67" s="4"/>
      <c r="O67" s="4">
        <v>999</v>
      </c>
    </row>
    <row r="68" spans="1:15" ht="18" customHeight="1" x14ac:dyDescent="0.25">
      <c r="A68" s="4">
        <v>67</v>
      </c>
      <c r="B68" s="4" t="s">
        <v>148</v>
      </c>
      <c r="C68" s="4">
        <v>6606573</v>
      </c>
      <c r="D68" s="4">
        <v>3142420492</v>
      </c>
      <c r="E68" s="4" t="s">
        <v>149</v>
      </c>
      <c r="F68" s="4" t="s">
        <v>21</v>
      </c>
      <c r="G68" s="4" t="s">
        <v>22</v>
      </c>
      <c r="H68" s="4" t="s">
        <v>326</v>
      </c>
      <c r="I68" s="4" t="s">
        <v>325</v>
      </c>
      <c r="J68" s="4" t="s">
        <v>326</v>
      </c>
      <c r="K68" s="4" t="s">
        <v>325</v>
      </c>
      <c r="L68" s="4" t="s">
        <v>326</v>
      </c>
      <c r="M68" s="4" t="s">
        <v>325</v>
      </c>
      <c r="N68" s="4"/>
      <c r="O68" s="4">
        <v>999</v>
      </c>
    </row>
    <row r="69" spans="1:15" ht="18" customHeight="1" x14ac:dyDescent="0.25">
      <c r="A69" s="4">
        <v>68</v>
      </c>
      <c r="B69" s="4" t="s">
        <v>150</v>
      </c>
      <c r="C69" s="4">
        <v>6608087</v>
      </c>
      <c r="D69" s="4">
        <v>3223270758</v>
      </c>
      <c r="E69" s="4" t="s">
        <v>151</v>
      </c>
      <c r="F69" s="4" t="s">
        <v>21</v>
      </c>
      <c r="G69" s="4" t="s">
        <v>22</v>
      </c>
      <c r="H69" s="4" t="s">
        <v>328</v>
      </c>
      <c r="I69" s="4" t="s">
        <v>327</v>
      </c>
      <c r="J69" s="4"/>
      <c r="K69" s="4"/>
      <c r="L69" s="4"/>
      <c r="M69" s="4"/>
      <c r="N69" s="4"/>
      <c r="O69" s="4">
        <v>999</v>
      </c>
    </row>
    <row r="70" spans="1:15" ht="18" customHeight="1" x14ac:dyDescent="0.25">
      <c r="A70" s="4">
        <v>69</v>
      </c>
      <c r="B70" s="4" t="s">
        <v>152</v>
      </c>
      <c r="C70" s="4">
        <v>27704925</v>
      </c>
      <c r="D70" s="4">
        <v>3107589836</v>
      </c>
      <c r="E70" s="4" t="s">
        <v>153</v>
      </c>
      <c r="F70" s="4" t="s">
        <v>21</v>
      </c>
      <c r="G70" s="4" t="s">
        <v>22</v>
      </c>
      <c r="H70" s="4"/>
      <c r="I70" s="4"/>
      <c r="J70" s="4"/>
      <c r="K70" s="4"/>
      <c r="L70" s="4"/>
      <c r="M70" s="4"/>
      <c r="N70" s="4"/>
      <c r="O70" s="4">
        <v>999</v>
      </c>
    </row>
    <row r="71" spans="1:15" ht="18" customHeight="1" x14ac:dyDescent="0.25">
      <c r="A71" s="4">
        <v>70</v>
      </c>
      <c r="B71" s="4" t="s">
        <v>154</v>
      </c>
      <c r="C71" s="4">
        <v>1092672910</v>
      </c>
      <c r="D71" s="4">
        <v>3133941476</v>
      </c>
      <c r="E71" s="4" t="s">
        <v>155</v>
      </c>
      <c r="F71" s="4" t="s">
        <v>21</v>
      </c>
      <c r="G71" s="4" t="s">
        <v>22</v>
      </c>
      <c r="H71" s="4" t="s">
        <v>313</v>
      </c>
      <c r="I71" s="4" t="s">
        <v>227</v>
      </c>
      <c r="J71" s="4" t="s">
        <v>313</v>
      </c>
      <c r="K71" s="4" t="s">
        <v>227</v>
      </c>
      <c r="L71" s="4" t="s">
        <v>313</v>
      </c>
      <c r="M71" s="4" t="s">
        <v>312</v>
      </c>
      <c r="N71" s="4"/>
      <c r="O71" s="4">
        <v>999</v>
      </c>
    </row>
    <row r="72" spans="1:15" ht="18" customHeight="1" x14ac:dyDescent="0.25">
      <c r="A72" s="4">
        <v>71</v>
      </c>
      <c r="B72" s="4" t="s">
        <v>156</v>
      </c>
      <c r="C72" s="4">
        <v>5427135</v>
      </c>
      <c r="D72" s="4">
        <v>3146395410</v>
      </c>
      <c r="E72" s="4" t="s">
        <v>157</v>
      </c>
      <c r="F72" s="4" t="s">
        <v>21</v>
      </c>
      <c r="G72" s="4" t="s">
        <v>22</v>
      </c>
      <c r="H72" s="4"/>
      <c r="I72" s="4"/>
      <c r="J72" s="4"/>
      <c r="K72" s="4"/>
      <c r="L72" s="4"/>
      <c r="M72" s="4"/>
      <c r="N72" s="4"/>
      <c r="O72" s="4">
        <v>999</v>
      </c>
    </row>
    <row r="73" spans="1:15" ht="18" customHeight="1" x14ac:dyDescent="0.25">
      <c r="A73" s="4">
        <v>72</v>
      </c>
      <c r="B73" s="4" t="s">
        <v>158</v>
      </c>
      <c r="C73" s="4">
        <v>1091657590</v>
      </c>
      <c r="D73" s="4">
        <v>3232454837</v>
      </c>
      <c r="E73" s="4" t="s">
        <v>133</v>
      </c>
      <c r="F73" s="4" t="s">
        <v>21</v>
      </c>
      <c r="G73" s="4" t="s">
        <v>22</v>
      </c>
      <c r="H73" s="4" t="s">
        <v>311</v>
      </c>
      <c r="I73" s="4" t="s">
        <v>310</v>
      </c>
      <c r="J73" s="4" t="s">
        <v>311</v>
      </c>
      <c r="K73" s="4" t="s">
        <v>310</v>
      </c>
      <c r="L73" s="4" t="s">
        <v>311</v>
      </c>
      <c r="M73" s="4" t="s">
        <v>310</v>
      </c>
      <c r="N73" s="4"/>
      <c r="O73" s="4">
        <v>999</v>
      </c>
    </row>
    <row r="74" spans="1:15" ht="18" customHeight="1" x14ac:dyDescent="0.25">
      <c r="A74" s="4">
        <v>73</v>
      </c>
      <c r="B74" s="4" t="s">
        <v>159</v>
      </c>
      <c r="C74" s="4">
        <v>37319649</v>
      </c>
      <c r="D74" s="4">
        <v>3123941091</v>
      </c>
      <c r="E74" s="4" t="s">
        <v>160</v>
      </c>
      <c r="F74" s="4" t="s">
        <v>21</v>
      </c>
      <c r="G74" s="4" t="s">
        <v>22</v>
      </c>
      <c r="H74" s="4" t="s">
        <v>329</v>
      </c>
      <c r="I74" s="4" t="s">
        <v>330</v>
      </c>
      <c r="J74" s="4" t="s">
        <v>329</v>
      </c>
      <c r="K74" s="4" t="s">
        <v>330</v>
      </c>
      <c r="L74" s="4" t="s">
        <v>329</v>
      </c>
      <c r="M74" s="4" t="s">
        <v>227</v>
      </c>
      <c r="N74" s="4"/>
      <c r="O74" s="4">
        <v>999</v>
      </c>
    </row>
    <row r="75" spans="1:15" ht="18" customHeight="1" x14ac:dyDescent="0.25">
      <c r="A75" s="4">
        <v>74</v>
      </c>
      <c r="B75" s="4" t="s">
        <v>161</v>
      </c>
      <c r="C75" s="4">
        <v>37336803</v>
      </c>
      <c r="D75" s="4">
        <v>3228399510</v>
      </c>
      <c r="E75" s="4" t="s">
        <v>162</v>
      </c>
      <c r="F75" s="4" t="s">
        <v>21</v>
      </c>
      <c r="G75" s="4" t="s">
        <v>22</v>
      </c>
      <c r="H75" s="4" t="s">
        <v>331</v>
      </c>
      <c r="I75" s="4" t="s">
        <v>332</v>
      </c>
      <c r="J75" s="4" t="s">
        <v>331</v>
      </c>
      <c r="K75" s="4" t="s">
        <v>332</v>
      </c>
      <c r="L75" s="4" t="s">
        <v>331</v>
      </c>
      <c r="M75" s="4" t="s">
        <v>227</v>
      </c>
      <c r="N75" s="4"/>
      <c r="O75" s="4">
        <v>999</v>
      </c>
    </row>
    <row r="76" spans="1:15" ht="18" customHeight="1" x14ac:dyDescent="0.25">
      <c r="A76" s="4">
        <v>75</v>
      </c>
      <c r="B76" s="4" t="s">
        <v>163</v>
      </c>
      <c r="C76" s="4">
        <v>1004897311</v>
      </c>
      <c r="D76" s="4">
        <v>3152033741</v>
      </c>
      <c r="E76" s="4" t="s">
        <v>164</v>
      </c>
      <c r="F76" s="4" t="s">
        <v>21</v>
      </c>
      <c r="G76" s="4" t="s">
        <v>22</v>
      </c>
      <c r="H76" s="4" t="s">
        <v>333</v>
      </c>
      <c r="I76" s="4" t="s">
        <v>334</v>
      </c>
      <c r="J76" s="4" t="s">
        <v>333</v>
      </c>
      <c r="K76" s="4"/>
      <c r="L76" s="4" t="s">
        <v>333</v>
      </c>
      <c r="M76" s="4"/>
      <c r="N76" s="4"/>
      <c r="O76" s="4">
        <v>999</v>
      </c>
    </row>
    <row r="77" spans="1:15" ht="19.5" customHeight="1" x14ac:dyDescent="0.25">
      <c r="A77">
        <v>76</v>
      </c>
      <c r="B77" t="s">
        <v>335</v>
      </c>
      <c r="C77" s="27">
        <v>88277468</v>
      </c>
      <c r="D77" s="27">
        <v>3044087932</v>
      </c>
      <c r="E77" t="s">
        <v>336</v>
      </c>
      <c r="F77" t="s">
        <v>21</v>
      </c>
      <c r="G77" t="s">
        <v>337</v>
      </c>
      <c r="H77" s="27" t="s">
        <v>248</v>
      </c>
      <c r="I77" t="s">
        <v>252</v>
      </c>
      <c r="J77" t="s">
        <v>251</v>
      </c>
      <c r="K77" s="27" t="s">
        <v>250</v>
      </c>
      <c r="L77" t="s">
        <v>249</v>
      </c>
      <c r="M77" s="27" t="s">
        <v>248</v>
      </c>
      <c r="O77" s="4" t="s">
        <v>351</v>
      </c>
    </row>
    <row r="78" spans="1:15" ht="25.5" customHeight="1" x14ac:dyDescent="0.25">
      <c r="A78">
        <v>77</v>
      </c>
      <c r="B78" t="s">
        <v>338</v>
      </c>
      <c r="C78">
        <v>1757979</v>
      </c>
      <c r="E78" t="s">
        <v>64</v>
      </c>
      <c r="F78" t="s">
        <v>339</v>
      </c>
      <c r="G78" t="s">
        <v>337</v>
      </c>
      <c r="H78" t="s">
        <v>263</v>
      </c>
      <c r="I78" t="s">
        <v>263</v>
      </c>
      <c r="J78" t="s">
        <v>263</v>
      </c>
      <c r="K78" t="s">
        <v>263</v>
      </c>
      <c r="L78" t="s">
        <v>263</v>
      </c>
      <c r="M78" t="s">
        <v>263</v>
      </c>
      <c r="O78" s="4">
        <v>999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E45"/>
  <sheetViews>
    <sheetView workbookViewId="0">
      <pane ySplit="1" topLeftCell="A2" activePane="bottomLeft" state="frozen"/>
      <selection activeCell="A26" sqref="A26"/>
      <selection pane="bottomLeft" activeCell="A26" sqref="A26"/>
    </sheetView>
  </sheetViews>
  <sheetFormatPr baseColWidth="10" defaultColWidth="9.140625" defaultRowHeight="15" x14ac:dyDescent="0.25"/>
  <cols>
    <col min="1" max="3" width="18" customWidth="1"/>
    <col min="4" max="4" width="12" bestFit="1" customWidth="1"/>
  </cols>
  <sheetData>
    <row r="1" spans="1:5" ht="18" customHeight="1" x14ac:dyDescent="0.25">
      <c r="A1" s="20" t="s">
        <v>165</v>
      </c>
      <c r="B1" s="20" t="s">
        <v>166</v>
      </c>
      <c r="C1" s="20" t="s">
        <v>9</v>
      </c>
      <c r="D1" t="s">
        <v>211</v>
      </c>
    </row>
    <row r="2" spans="1:5" ht="18" customHeight="1" x14ac:dyDescent="0.25">
      <c r="A2" s="21">
        <v>101</v>
      </c>
      <c r="B2" s="21" t="s">
        <v>167</v>
      </c>
      <c r="C2" s="21" t="s">
        <v>205</v>
      </c>
      <c r="D2" s="22">
        <v>7000</v>
      </c>
    </row>
    <row r="3" spans="1:5" ht="18" customHeight="1" x14ac:dyDescent="0.25">
      <c r="A3" s="21">
        <v>101</v>
      </c>
      <c r="B3" s="21" t="s">
        <v>167</v>
      </c>
      <c r="C3" s="21" t="s">
        <v>204</v>
      </c>
      <c r="D3" s="22">
        <v>5500</v>
      </c>
    </row>
    <row r="4" spans="1:5" ht="18" customHeight="1" x14ac:dyDescent="0.25">
      <c r="A4" s="21">
        <v>101</v>
      </c>
      <c r="B4" s="21" t="s">
        <v>167</v>
      </c>
      <c r="C4" s="21" t="s">
        <v>206</v>
      </c>
      <c r="D4" s="22">
        <v>5500</v>
      </c>
    </row>
    <row r="5" spans="1:5" ht="18" customHeight="1" x14ac:dyDescent="0.25">
      <c r="A5" s="21">
        <v>101</v>
      </c>
      <c r="B5" s="21" t="s">
        <v>167</v>
      </c>
      <c r="C5" s="21" t="s">
        <v>207</v>
      </c>
      <c r="D5" s="22">
        <v>7000</v>
      </c>
    </row>
    <row r="6" spans="1:5" ht="18" customHeight="1" x14ac:dyDescent="0.25">
      <c r="A6" s="21">
        <v>101</v>
      </c>
      <c r="B6" s="21" t="s">
        <v>167</v>
      </c>
      <c r="C6" s="21" t="s">
        <v>208</v>
      </c>
      <c r="D6" s="22">
        <v>4000</v>
      </c>
    </row>
    <row r="7" spans="1:5" ht="18" customHeight="1" x14ac:dyDescent="0.25">
      <c r="A7" s="21">
        <v>101</v>
      </c>
      <c r="B7" s="21" t="s">
        <v>167</v>
      </c>
      <c r="C7" s="21" t="s">
        <v>209</v>
      </c>
      <c r="D7" s="22">
        <v>8000</v>
      </c>
    </row>
    <row r="8" spans="1:5" ht="18" customHeight="1" x14ac:dyDescent="0.25">
      <c r="A8" s="21">
        <v>101</v>
      </c>
      <c r="B8" s="21" t="s">
        <v>167</v>
      </c>
      <c r="C8" s="21" t="s">
        <v>210</v>
      </c>
      <c r="D8" s="22">
        <v>6500</v>
      </c>
    </row>
    <row r="9" spans="1:5" ht="18" customHeight="1" x14ac:dyDescent="0.25">
      <c r="A9" s="21">
        <v>102</v>
      </c>
      <c r="B9" s="21" t="s">
        <v>167</v>
      </c>
      <c r="C9" s="21" t="s">
        <v>212</v>
      </c>
      <c r="D9" s="22">
        <v>1200</v>
      </c>
    </row>
    <row r="10" spans="1:5" ht="18" customHeight="1" x14ac:dyDescent="0.25">
      <c r="A10" s="21">
        <v>102</v>
      </c>
      <c r="B10" s="21" t="s">
        <v>167</v>
      </c>
      <c r="C10" s="21" t="s">
        <v>168</v>
      </c>
      <c r="D10" s="22">
        <v>700</v>
      </c>
    </row>
    <row r="11" spans="1:5" ht="18" customHeight="1" x14ac:dyDescent="0.25">
      <c r="A11" s="21">
        <v>103</v>
      </c>
      <c r="B11" s="21" t="s">
        <v>167</v>
      </c>
      <c r="C11" s="21" t="s">
        <v>213</v>
      </c>
      <c r="D11" s="22">
        <v>34000</v>
      </c>
    </row>
    <row r="12" spans="1:5" ht="18" customHeight="1" x14ac:dyDescent="0.25">
      <c r="A12" s="21">
        <v>103</v>
      </c>
      <c r="B12" s="21" t="s">
        <v>167</v>
      </c>
      <c r="C12" s="21" t="s">
        <v>214</v>
      </c>
      <c r="D12" s="22">
        <v>33000</v>
      </c>
    </row>
    <row r="13" spans="1:5" ht="18" customHeight="1" x14ac:dyDescent="0.25">
      <c r="A13" s="21">
        <v>104</v>
      </c>
      <c r="B13" s="21" t="s">
        <v>167</v>
      </c>
      <c r="C13" s="21" t="s">
        <v>169</v>
      </c>
      <c r="D13" s="22">
        <v>18000</v>
      </c>
      <c r="E13" s="19"/>
    </row>
    <row r="14" spans="1:5" ht="18" customHeight="1" x14ac:dyDescent="0.25">
      <c r="A14" s="21">
        <v>105</v>
      </c>
      <c r="B14" s="21" t="s">
        <v>167</v>
      </c>
      <c r="C14" s="21" t="s">
        <v>170</v>
      </c>
      <c r="D14" s="22">
        <v>5500</v>
      </c>
    </row>
    <row r="15" spans="1:5" ht="18" customHeight="1" x14ac:dyDescent="0.25">
      <c r="A15" s="21">
        <v>106</v>
      </c>
      <c r="B15" s="21" t="s">
        <v>167</v>
      </c>
      <c r="C15" s="21" t="s">
        <v>171</v>
      </c>
      <c r="D15" s="22">
        <v>2800</v>
      </c>
    </row>
    <row r="16" spans="1:5" ht="18" customHeight="1" x14ac:dyDescent="0.25">
      <c r="A16" s="21">
        <v>199</v>
      </c>
      <c r="B16" s="21" t="s">
        <v>167</v>
      </c>
      <c r="C16" s="21" t="s">
        <v>172</v>
      </c>
      <c r="D16" s="22">
        <v>5500</v>
      </c>
    </row>
    <row r="17" spans="1:4" ht="18" customHeight="1" x14ac:dyDescent="0.25">
      <c r="A17" s="21">
        <v>201</v>
      </c>
      <c r="B17" s="21" t="s">
        <v>173</v>
      </c>
      <c r="C17" s="21" t="s">
        <v>174</v>
      </c>
      <c r="D17" s="22">
        <v>700</v>
      </c>
    </row>
    <row r="18" spans="1:4" ht="18" customHeight="1" x14ac:dyDescent="0.25">
      <c r="A18" s="21">
        <v>202</v>
      </c>
      <c r="B18" s="21" t="s">
        <v>173</v>
      </c>
      <c r="C18" s="21" t="s">
        <v>175</v>
      </c>
      <c r="D18" s="22">
        <v>350</v>
      </c>
    </row>
    <row r="19" spans="1:4" ht="18" customHeight="1" x14ac:dyDescent="0.25">
      <c r="A19" s="21">
        <v>203</v>
      </c>
      <c r="B19" s="21" t="s">
        <v>173</v>
      </c>
      <c r="C19" s="21" t="s">
        <v>176</v>
      </c>
      <c r="D19" s="22">
        <v>50</v>
      </c>
    </row>
    <row r="20" spans="1:4" ht="18" customHeight="1" x14ac:dyDescent="0.25">
      <c r="A20" s="21">
        <v>204</v>
      </c>
      <c r="B20" s="21" t="s">
        <v>173</v>
      </c>
      <c r="C20" s="21" t="s">
        <v>177</v>
      </c>
      <c r="D20" s="22">
        <v>200</v>
      </c>
    </row>
    <row r="21" spans="1:4" ht="18" customHeight="1" x14ac:dyDescent="0.25">
      <c r="A21" s="21">
        <v>205</v>
      </c>
      <c r="B21" s="21" t="s">
        <v>173</v>
      </c>
      <c r="C21" s="21" t="s">
        <v>178</v>
      </c>
      <c r="D21" s="22">
        <v>150</v>
      </c>
    </row>
    <row r="22" spans="1:4" ht="18" customHeight="1" x14ac:dyDescent="0.25">
      <c r="A22" s="21">
        <v>206</v>
      </c>
      <c r="B22" s="21" t="s">
        <v>173</v>
      </c>
      <c r="C22" s="21" t="s">
        <v>179</v>
      </c>
      <c r="D22" s="22">
        <v>150</v>
      </c>
    </row>
    <row r="23" spans="1:4" ht="18" customHeight="1" x14ac:dyDescent="0.25">
      <c r="A23" s="21">
        <v>207</v>
      </c>
      <c r="B23" s="21" t="s">
        <v>173</v>
      </c>
      <c r="C23" s="21" t="s">
        <v>180</v>
      </c>
      <c r="D23" s="22">
        <v>0</v>
      </c>
    </row>
    <row r="24" spans="1:4" ht="18" customHeight="1" x14ac:dyDescent="0.25">
      <c r="A24" s="21">
        <v>208</v>
      </c>
      <c r="B24" s="21" t="s">
        <v>173</v>
      </c>
      <c r="C24" s="21" t="s">
        <v>181</v>
      </c>
      <c r="D24" s="22">
        <v>0</v>
      </c>
    </row>
    <row r="25" spans="1:4" ht="18" customHeight="1" x14ac:dyDescent="0.25">
      <c r="A25" s="21">
        <v>299</v>
      </c>
      <c r="B25" s="21" t="s">
        <v>173</v>
      </c>
      <c r="C25" s="21" t="s">
        <v>182</v>
      </c>
      <c r="D25" s="22">
        <v>350</v>
      </c>
    </row>
    <row r="26" spans="1:4" ht="18" customHeight="1" x14ac:dyDescent="0.25">
      <c r="A26" s="21">
        <v>301</v>
      </c>
      <c r="B26" s="21" t="s">
        <v>183</v>
      </c>
      <c r="C26" s="21" t="s">
        <v>184</v>
      </c>
      <c r="D26" s="22">
        <v>0</v>
      </c>
    </row>
    <row r="27" spans="1:4" ht="18" customHeight="1" x14ac:dyDescent="0.25">
      <c r="A27" s="21">
        <v>301</v>
      </c>
      <c r="B27" s="21" t="s">
        <v>183</v>
      </c>
      <c r="C27" s="21" t="s">
        <v>184</v>
      </c>
      <c r="D27" s="22">
        <v>0</v>
      </c>
    </row>
    <row r="28" spans="1:4" ht="18" customHeight="1" x14ac:dyDescent="0.25">
      <c r="A28" s="21">
        <v>302</v>
      </c>
      <c r="B28" s="21" t="s">
        <v>183</v>
      </c>
      <c r="C28" s="21" t="s">
        <v>185</v>
      </c>
      <c r="D28" s="22">
        <v>800</v>
      </c>
    </row>
    <row r="29" spans="1:4" ht="18" customHeight="1" x14ac:dyDescent="0.25">
      <c r="A29" s="21">
        <v>302</v>
      </c>
      <c r="B29" s="21" t="s">
        <v>183</v>
      </c>
      <c r="C29" s="21" t="s">
        <v>215</v>
      </c>
      <c r="D29" s="22">
        <v>700</v>
      </c>
    </row>
    <row r="30" spans="1:4" ht="18" customHeight="1" x14ac:dyDescent="0.25">
      <c r="A30" s="21">
        <v>302</v>
      </c>
      <c r="B30" s="21" t="s">
        <v>183</v>
      </c>
      <c r="C30" s="21" t="s">
        <v>216</v>
      </c>
      <c r="D30" s="22">
        <v>1500</v>
      </c>
    </row>
    <row r="31" spans="1:4" x14ac:dyDescent="0.25">
      <c r="A31" s="21">
        <v>302</v>
      </c>
      <c r="B31" s="21" t="s">
        <v>183</v>
      </c>
      <c r="C31" s="21" t="s">
        <v>217</v>
      </c>
      <c r="D31" s="22">
        <v>1400</v>
      </c>
    </row>
    <row r="32" spans="1:4" x14ac:dyDescent="0.25">
      <c r="A32" s="21">
        <v>303</v>
      </c>
      <c r="B32" s="21" t="s">
        <v>183</v>
      </c>
      <c r="C32" s="21" t="s">
        <v>218</v>
      </c>
      <c r="D32" s="22">
        <v>1000</v>
      </c>
    </row>
    <row r="33" spans="1:4" x14ac:dyDescent="0.25">
      <c r="A33" s="21">
        <v>303</v>
      </c>
      <c r="B33" s="21" t="s">
        <v>183</v>
      </c>
      <c r="C33" s="21" t="s">
        <v>219</v>
      </c>
      <c r="D33" s="22">
        <v>300</v>
      </c>
    </row>
    <row r="34" spans="1:4" x14ac:dyDescent="0.25">
      <c r="A34" s="21">
        <v>303</v>
      </c>
      <c r="B34" s="21" t="s">
        <v>183</v>
      </c>
      <c r="C34" s="21" t="s">
        <v>220</v>
      </c>
      <c r="D34" s="22">
        <v>300</v>
      </c>
    </row>
    <row r="35" spans="1:4" x14ac:dyDescent="0.25">
      <c r="A35" s="21">
        <v>303</v>
      </c>
      <c r="B35" s="21" t="s">
        <v>183</v>
      </c>
      <c r="C35" s="21" t="s">
        <v>221</v>
      </c>
      <c r="D35" s="22">
        <v>150</v>
      </c>
    </row>
    <row r="36" spans="1:4" x14ac:dyDescent="0.25">
      <c r="A36" s="21">
        <v>303</v>
      </c>
      <c r="B36" s="21" t="s">
        <v>183</v>
      </c>
      <c r="C36" s="21" t="s">
        <v>222</v>
      </c>
      <c r="D36" s="22">
        <v>500</v>
      </c>
    </row>
    <row r="37" spans="1:4" x14ac:dyDescent="0.25">
      <c r="A37" s="21">
        <v>304</v>
      </c>
      <c r="B37" s="21" t="s">
        <v>183</v>
      </c>
      <c r="C37" s="21" t="s">
        <v>223</v>
      </c>
      <c r="D37" s="22">
        <v>300</v>
      </c>
    </row>
    <row r="38" spans="1:4" x14ac:dyDescent="0.25">
      <c r="A38" s="21">
        <v>304</v>
      </c>
      <c r="B38" s="21" t="s">
        <v>183</v>
      </c>
      <c r="C38" s="21" t="s">
        <v>224</v>
      </c>
      <c r="D38" s="22">
        <v>200</v>
      </c>
    </row>
    <row r="39" spans="1:4" x14ac:dyDescent="0.25">
      <c r="A39" s="21">
        <v>305</v>
      </c>
      <c r="B39" s="21" t="s">
        <v>183</v>
      </c>
      <c r="C39" s="21" t="s">
        <v>225</v>
      </c>
      <c r="D39" s="22">
        <v>600</v>
      </c>
    </row>
    <row r="40" spans="1:4" x14ac:dyDescent="0.25">
      <c r="A40" s="21">
        <v>306</v>
      </c>
      <c r="B40" s="21" t="s">
        <v>183</v>
      </c>
      <c r="C40" s="21" t="s">
        <v>226</v>
      </c>
      <c r="D40" s="22">
        <v>800</v>
      </c>
    </row>
    <row r="41" spans="1:4" x14ac:dyDescent="0.25">
      <c r="A41" s="21">
        <v>307</v>
      </c>
      <c r="B41" s="21" t="s">
        <v>183</v>
      </c>
      <c r="C41" s="21" t="s">
        <v>186</v>
      </c>
      <c r="D41" s="22">
        <v>700</v>
      </c>
    </row>
    <row r="42" spans="1:4" x14ac:dyDescent="0.25">
      <c r="A42" s="21">
        <v>308</v>
      </c>
      <c r="B42" s="21" t="s">
        <v>183</v>
      </c>
      <c r="C42" s="21" t="s">
        <v>187</v>
      </c>
      <c r="D42" s="22">
        <v>0</v>
      </c>
    </row>
    <row r="43" spans="1:4" x14ac:dyDescent="0.25">
      <c r="A43" s="21">
        <v>399</v>
      </c>
      <c r="B43" s="21" t="s">
        <v>183</v>
      </c>
      <c r="C43" s="21" t="s">
        <v>188</v>
      </c>
      <c r="D43" s="22">
        <v>0</v>
      </c>
    </row>
    <row r="44" spans="1:4" x14ac:dyDescent="0.25">
      <c r="A44" s="21">
        <v>499</v>
      </c>
      <c r="B44" s="21" t="s">
        <v>189</v>
      </c>
      <c r="C44" s="21" t="s">
        <v>190</v>
      </c>
      <c r="D44" s="22">
        <v>50</v>
      </c>
    </row>
    <row r="45" spans="1:4" x14ac:dyDescent="0.25">
      <c r="A45" s="21">
        <v>799</v>
      </c>
      <c r="B45" s="21" t="s">
        <v>191</v>
      </c>
      <c r="C45" s="21" t="s">
        <v>191</v>
      </c>
      <c r="D45" s="22"/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V1523"/>
  <sheetViews>
    <sheetView zoomScale="87" zoomScaleNormal="87" workbookViewId="0">
      <pane ySplit="1" topLeftCell="A2" activePane="bottomLeft" state="frozen"/>
      <selection activeCell="A26" sqref="A26"/>
      <selection pane="bottomLeft" activeCell="S29" sqref="S29"/>
    </sheetView>
  </sheetViews>
  <sheetFormatPr baseColWidth="10" defaultColWidth="9.140625" defaultRowHeight="15" x14ac:dyDescent="0.25"/>
  <cols>
    <col min="1" max="2" width="18" customWidth="1"/>
    <col min="3" max="3" width="32" customWidth="1"/>
    <col min="4" max="4" width="18" customWidth="1"/>
    <col min="5" max="5" width="24" customWidth="1"/>
    <col min="6" max="8" width="18" customWidth="1"/>
    <col min="9" max="9" width="18.85546875" style="29" customWidth="1"/>
    <col min="10" max="10" width="21.42578125" customWidth="1"/>
    <col min="11" max="11" width="17.7109375" customWidth="1"/>
    <col min="12" max="12" width="17.85546875" customWidth="1"/>
    <col min="13" max="13" width="13.85546875" customWidth="1"/>
    <col min="15" max="15" width="33.42578125" customWidth="1"/>
    <col min="16" max="16" width="22.28515625" customWidth="1"/>
    <col min="17" max="17" width="19" style="28" customWidth="1"/>
    <col min="18" max="18" width="23.42578125" style="28" customWidth="1"/>
    <col min="19" max="19" width="18.28515625" customWidth="1"/>
    <col min="20" max="20" width="14.42578125" customWidth="1"/>
    <col min="21" max="21" width="23.42578125" customWidth="1"/>
  </cols>
  <sheetData>
    <row r="1" spans="1:22" ht="18" customHeight="1" thickBot="1" x14ac:dyDescent="0.3">
      <c r="A1" s="37" t="s">
        <v>192</v>
      </c>
      <c r="B1" s="36" t="s">
        <v>2</v>
      </c>
      <c r="C1" s="36" t="s">
        <v>3</v>
      </c>
      <c r="D1" s="36" t="s">
        <v>4</v>
      </c>
      <c r="E1" s="36" t="s">
        <v>9</v>
      </c>
      <c r="F1" s="36" t="s">
        <v>10</v>
      </c>
      <c r="G1" s="36" t="s">
        <v>362</v>
      </c>
      <c r="H1" s="36" t="s">
        <v>13</v>
      </c>
      <c r="I1" s="36" t="s">
        <v>363</v>
      </c>
      <c r="J1" s="32" t="s">
        <v>364</v>
      </c>
      <c r="K1" s="33" t="s">
        <v>353</v>
      </c>
      <c r="L1" s="38" t="s">
        <v>365</v>
      </c>
      <c r="M1" s="30" t="s">
        <v>366</v>
      </c>
      <c r="N1" s="30" t="s">
        <v>354</v>
      </c>
      <c r="O1" s="30" t="s">
        <v>355</v>
      </c>
      <c r="P1" s="30" t="s">
        <v>356</v>
      </c>
      <c r="Q1" s="30" t="s">
        <v>357</v>
      </c>
      <c r="R1" s="31" t="s">
        <v>358</v>
      </c>
      <c r="S1" s="31" t="s">
        <v>359</v>
      </c>
      <c r="T1" s="30" t="s">
        <v>360</v>
      </c>
      <c r="U1" s="30" t="s">
        <v>361</v>
      </c>
    </row>
    <row r="2" spans="1:22" ht="18" customHeight="1" thickTop="1" thickBot="1" x14ac:dyDescent="0.3">
      <c r="A2" s="34">
        <v>1</v>
      </c>
      <c r="B2" s="13">
        <v>46178</v>
      </c>
      <c r="C2" t="s">
        <v>26</v>
      </c>
      <c r="D2">
        <v>88141122</v>
      </c>
      <c r="E2" t="s">
        <v>218</v>
      </c>
      <c r="F2">
        <v>100</v>
      </c>
      <c r="G2">
        <v>1000</v>
      </c>
      <c r="H2">
        <v>100000</v>
      </c>
      <c r="I2" s="29">
        <v>1</v>
      </c>
      <c r="J2" s="29">
        <v>1</v>
      </c>
      <c r="K2">
        <v>99</v>
      </c>
      <c r="L2" s="71">
        <v>1286754498</v>
      </c>
      <c r="M2" s="71">
        <v>449054498</v>
      </c>
      <c r="N2" s="71">
        <v>1</v>
      </c>
      <c r="O2" s="71">
        <v>88141122</v>
      </c>
      <c r="P2" s="71">
        <v>999</v>
      </c>
      <c r="Q2" s="65">
        <v>0.1</v>
      </c>
      <c r="R2" s="65">
        <v>303</v>
      </c>
      <c r="S2" s="65">
        <v>1E-3</v>
      </c>
      <c r="T2" s="71">
        <v>1</v>
      </c>
      <c r="U2" s="71">
        <v>206654498</v>
      </c>
      <c r="V2" s="83"/>
    </row>
    <row r="3" spans="1:22" ht="18" customHeight="1" thickTop="1" thickBot="1" x14ac:dyDescent="0.3">
      <c r="A3" s="34">
        <v>1</v>
      </c>
      <c r="B3" s="13">
        <v>46178</v>
      </c>
      <c r="C3" t="s">
        <v>26</v>
      </c>
      <c r="D3">
        <v>88141122</v>
      </c>
      <c r="E3" t="s">
        <v>175</v>
      </c>
      <c r="F3">
        <v>200</v>
      </c>
      <c r="G3">
        <v>350</v>
      </c>
      <c r="H3">
        <v>70000</v>
      </c>
      <c r="I3" s="29">
        <v>1</v>
      </c>
      <c r="J3" s="29">
        <v>2</v>
      </c>
      <c r="K3">
        <v>198</v>
      </c>
      <c r="L3" s="71">
        <v>1286754498</v>
      </c>
      <c r="M3" s="71">
        <v>449054498</v>
      </c>
      <c r="N3" s="71">
        <v>1</v>
      </c>
      <c r="O3" s="71">
        <v>88141122</v>
      </c>
      <c r="P3" s="71">
        <v>999</v>
      </c>
      <c r="Q3" s="65">
        <v>0.2</v>
      </c>
      <c r="R3" s="65">
        <v>202</v>
      </c>
      <c r="S3" s="65">
        <v>2E-3</v>
      </c>
      <c r="T3" s="71">
        <v>1</v>
      </c>
      <c r="U3" s="71">
        <v>206654498</v>
      </c>
      <c r="V3" s="86"/>
    </row>
    <row r="4" spans="1:22" ht="18" customHeight="1" thickTop="1" thickBot="1" x14ac:dyDescent="0.3">
      <c r="A4" s="34">
        <v>1</v>
      </c>
      <c r="B4" s="13">
        <v>46178</v>
      </c>
      <c r="C4" t="s">
        <v>26</v>
      </c>
      <c r="D4">
        <v>88141122</v>
      </c>
      <c r="E4" t="s">
        <v>205</v>
      </c>
      <c r="F4">
        <v>10</v>
      </c>
      <c r="G4">
        <v>7000</v>
      </c>
      <c r="H4">
        <v>70000</v>
      </c>
      <c r="I4" s="29">
        <v>1</v>
      </c>
      <c r="J4" s="29">
        <v>0.1</v>
      </c>
      <c r="K4">
        <v>9.9</v>
      </c>
      <c r="L4" s="71">
        <v>1286754498</v>
      </c>
      <c r="M4" s="71">
        <v>449054498</v>
      </c>
      <c r="N4" s="71">
        <v>1</v>
      </c>
      <c r="O4" s="71">
        <v>88141122</v>
      </c>
      <c r="P4" s="71">
        <v>999</v>
      </c>
      <c r="Q4" s="65">
        <v>0.01</v>
      </c>
      <c r="R4" s="65">
        <v>101</v>
      </c>
      <c r="S4" s="65">
        <v>1E-4</v>
      </c>
      <c r="T4" s="71">
        <v>1</v>
      </c>
      <c r="U4" s="71">
        <v>206654498</v>
      </c>
      <c r="V4" s="86"/>
    </row>
    <row r="5" spans="1:22" ht="18" customHeight="1" thickTop="1" thickBot="1" x14ac:dyDescent="0.3">
      <c r="A5" s="108"/>
      <c r="B5" s="13"/>
      <c r="J5" s="29"/>
      <c r="L5" s="71"/>
      <c r="M5" s="71"/>
      <c r="N5" s="71"/>
      <c r="O5" s="71"/>
      <c r="P5" s="71"/>
      <c r="Q5" s="65"/>
      <c r="R5" s="65"/>
      <c r="S5" s="65"/>
      <c r="T5" s="71"/>
      <c r="U5" s="71"/>
      <c r="V5" s="86"/>
    </row>
    <row r="6" spans="1:22" ht="18" customHeight="1" thickTop="1" thickBot="1" x14ac:dyDescent="0.3">
      <c r="A6" s="34"/>
      <c r="B6" s="13"/>
      <c r="J6" s="29"/>
      <c r="L6" s="71"/>
      <c r="M6" s="71"/>
      <c r="N6" s="71"/>
      <c r="O6" s="71"/>
      <c r="P6" s="71"/>
      <c r="Q6" s="65"/>
      <c r="R6" s="65"/>
      <c r="S6" s="65"/>
      <c r="T6" s="71"/>
      <c r="U6" s="71"/>
      <c r="V6" s="86"/>
    </row>
    <row r="7" spans="1:22" ht="18" customHeight="1" thickTop="1" thickBot="1" x14ac:dyDescent="0.3">
      <c r="A7" s="108"/>
      <c r="B7" s="13"/>
      <c r="J7" s="29"/>
      <c r="L7" s="71"/>
      <c r="M7" s="71"/>
      <c r="N7" s="71"/>
      <c r="O7" s="71"/>
      <c r="P7" s="71"/>
      <c r="Q7" s="65"/>
      <c r="R7" s="65"/>
      <c r="S7" s="65"/>
      <c r="T7" s="71"/>
      <c r="U7" s="71"/>
      <c r="V7" s="86"/>
    </row>
    <row r="8" spans="1:22" ht="18" customHeight="1" thickTop="1" thickBot="1" x14ac:dyDescent="0.3">
      <c r="A8" s="34"/>
      <c r="B8" s="13"/>
      <c r="J8" s="29"/>
      <c r="L8" s="71"/>
      <c r="M8" s="71"/>
      <c r="N8" s="71"/>
      <c r="O8" s="71"/>
      <c r="P8" s="71"/>
      <c r="Q8" s="65"/>
      <c r="R8" s="65"/>
      <c r="S8" s="65"/>
      <c r="T8" s="71"/>
      <c r="U8" s="71"/>
      <c r="V8" s="86"/>
    </row>
    <row r="9" spans="1:22" ht="18" customHeight="1" thickTop="1" thickBot="1" x14ac:dyDescent="0.3">
      <c r="A9" s="108"/>
      <c r="B9" s="13"/>
      <c r="J9" s="29"/>
      <c r="L9" s="71"/>
      <c r="M9" s="71"/>
      <c r="N9" s="71"/>
      <c r="O9" s="71"/>
      <c r="P9" s="71"/>
      <c r="Q9" s="65"/>
      <c r="R9" s="65"/>
      <c r="S9" s="65"/>
      <c r="T9" s="71"/>
      <c r="U9" s="71"/>
      <c r="V9" s="86"/>
    </row>
    <row r="10" spans="1:22" ht="18" customHeight="1" thickTop="1" thickBot="1" x14ac:dyDescent="0.3">
      <c r="A10" s="34"/>
      <c r="B10" s="13"/>
      <c r="J10" s="29"/>
      <c r="L10" s="71"/>
      <c r="M10" s="71"/>
      <c r="N10" s="71"/>
      <c r="O10" s="71"/>
      <c r="P10" s="71"/>
      <c r="Q10" s="65"/>
      <c r="R10" s="65"/>
      <c r="S10" s="65"/>
      <c r="T10" s="71"/>
      <c r="U10" s="71"/>
      <c r="V10" s="86"/>
    </row>
    <row r="11" spans="1:22" ht="18" customHeight="1" thickTop="1" thickBot="1" x14ac:dyDescent="0.3">
      <c r="A11" s="108"/>
      <c r="B11" s="13"/>
      <c r="J11" s="29"/>
      <c r="L11" s="71"/>
      <c r="M11" s="71"/>
      <c r="N11" s="71"/>
      <c r="O11" s="71"/>
      <c r="P11" s="71"/>
      <c r="Q11" s="65"/>
      <c r="R11" s="65"/>
      <c r="S11" s="65"/>
      <c r="T11" s="71"/>
      <c r="U11" s="71"/>
      <c r="V11" s="86"/>
    </row>
    <row r="12" spans="1:22" ht="18" customHeight="1" thickTop="1" thickBot="1" x14ac:dyDescent="0.3">
      <c r="A12" s="34"/>
      <c r="B12" s="13"/>
      <c r="J12" s="29"/>
      <c r="L12" s="71"/>
      <c r="M12" s="71"/>
      <c r="N12" s="71"/>
      <c r="O12" s="71"/>
      <c r="P12" s="71"/>
      <c r="Q12" s="65"/>
      <c r="R12" s="65"/>
      <c r="S12" s="65"/>
      <c r="T12" s="71"/>
      <c r="U12" s="71"/>
      <c r="V12" s="86"/>
    </row>
    <row r="13" spans="1:22" ht="18" customHeight="1" thickTop="1" thickBot="1" x14ac:dyDescent="0.3">
      <c r="A13" s="108"/>
      <c r="B13" s="13"/>
      <c r="J13" s="29"/>
      <c r="L13" s="71"/>
      <c r="M13" s="71"/>
      <c r="N13" s="71"/>
      <c r="O13" s="71"/>
      <c r="P13" s="71"/>
      <c r="Q13" s="65"/>
      <c r="R13" s="65"/>
      <c r="S13" s="65"/>
      <c r="T13" s="71"/>
      <c r="U13" s="71"/>
      <c r="V13" s="86"/>
    </row>
    <row r="14" spans="1:22" ht="18" customHeight="1" thickTop="1" thickBot="1" x14ac:dyDescent="0.3">
      <c r="A14" s="34"/>
      <c r="B14" s="13"/>
      <c r="J14" s="29"/>
      <c r="L14" s="71"/>
      <c r="M14" s="71"/>
      <c r="N14" s="71"/>
      <c r="O14" s="71"/>
      <c r="P14" s="71"/>
      <c r="Q14" s="65"/>
      <c r="R14" s="65"/>
      <c r="S14" s="65"/>
      <c r="T14" s="71"/>
      <c r="U14" s="71"/>
      <c r="V14" s="86"/>
    </row>
    <row r="15" spans="1:22" ht="18" customHeight="1" thickTop="1" thickBot="1" x14ac:dyDescent="0.3">
      <c r="A15" s="108"/>
      <c r="B15" s="13"/>
      <c r="J15" s="29"/>
      <c r="L15" s="71"/>
      <c r="M15" s="71"/>
      <c r="N15" s="71"/>
      <c r="O15" s="71"/>
      <c r="P15" s="71"/>
      <c r="Q15" s="65"/>
      <c r="R15" s="65"/>
      <c r="S15" s="65"/>
      <c r="T15" s="71"/>
      <c r="U15" s="71"/>
      <c r="V15" s="86"/>
    </row>
    <row r="16" spans="1:22" ht="18" customHeight="1" thickTop="1" thickBot="1" x14ac:dyDescent="0.3">
      <c r="A16" s="34"/>
      <c r="B16" s="13"/>
      <c r="J16" s="29"/>
      <c r="L16" s="71"/>
      <c r="M16" s="71"/>
      <c r="N16" s="71"/>
      <c r="O16" s="71"/>
      <c r="P16" s="71"/>
      <c r="Q16" s="65"/>
      <c r="R16" s="65"/>
      <c r="S16" s="65"/>
      <c r="T16" s="71"/>
      <c r="U16" s="71"/>
      <c r="V16" s="86"/>
    </row>
    <row r="17" spans="1:22" ht="18" customHeight="1" thickTop="1" thickBot="1" x14ac:dyDescent="0.3">
      <c r="A17" s="108"/>
      <c r="B17" s="13"/>
      <c r="J17" s="29"/>
      <c r="L17" s="71"/>
      <c r="M17" s="71"/>
      <c r="N17" s="71"/>
      <c r="O17" s="71"/>
      <c r="P17" s="71"/>
      <c r="Q17" s="65"/>
      <c r="R17" s="65"/>
      <c r="S17" s="65"/>
      <c r="T17" s="71"/>
      <c r="U17" s="71"/>
      <c r="V17" s="86"/>
    </row>
    <row r="18" spans="1:22" ht="18" customHeight="1" thickTop="1" thickBot="1" x14ac:dyDescent="0.3">
      <c r="A18" s="34"/>
      <c r="B18" s="13"/>
      <c r="J18" s="29"/>
      <c r="L18" s="71"/>
      <c r="M18" s="71"/>
      <c r="N18" s="71"/>
      <c r="O18" s="71"/>
      <c r="P18" s="71"/>
      <c r="Q18" s="65"/>
      <c r="R18" s="65"/>
      <c r="S18" s="65"/>
      <c r="T18" s="71"/>
      <c r="U18" s="71"/>
      <c r="V18" s="86"/>
    </row>
    <row r="19" spans="1:22" ht="18" customHeight="1" thickTop="1" thickBot="1" x14ac:dyDescent="0.3">
      <c r="A19" s="108"/>
      <c r="B19" s="13"/>
      <c r="J19" s="29"/>
      <c r="L19" s="71"/>
      <c r="M19" s="71"/>
      <c r="N19" s="71"/>
      <c r="O19" s="71"/>
      <c r="P19" s="71"/>
      <c r="Q19" s="65"/>
      <c r="R19" s="65"/>
      <c r="S19" s="65"/>
      <c r="T19" s="71"/>
      <c r="U19" s="71"/>
      <c r="V19" s="86"/>
    </row>
    <row r="20" spans="1:22" ht="18" customHeight="1" thickTop="1" thickBot="1" x14ac:dyDescent="0.3">
      <c r="A20" s="34"/>
      <c r="B20" s="13"/>
      <c r="J20" s="29"/>
      <c r="L20" s="71"/>
      <c r="M20" s="71"/>
      <c r="N20" s="71"/>
      <c r="O20" s="71"/>
      <c r="P20" s="71"/>
      <c r="Q20" s="65"/>
      <c r="R20" s="65"/>
      <c r="S20" s="65"/>
      <c r="T20" s="71"/>
      <c r="U20" s="71"/>
      <c r="V20" s="86"/>
    </row>
    <row r="21" spans="1:22" ht="18" customHeight="1" thickTop="1" thickBot="1" x14ac:dyDescent="0.3">
      <c r="A21" s="108"/>
      <c r="B21" s="13"/>
      <c r="J21" s="29"/>
      <c r="L21" s="71"/>
      <c r="M21" s="71"/>
      <c r="N21" s="71"/>
      <c r="O21" s="71"/>
      <c r="P21" s="71"/>
      <c r="Q21" s="65"/>
      <c r="R21" s="65"/>
      <c r="S21" s="65"/>
      <c r="T21" s="71"/>
      <c r="U21" s="71"/>
      <c r="V21" s="86"/>
    </row>
    <row r="22" spans="1:22" ht="18" customHeight="1" thickTop="1" thickBot="1" x14ac:dyDescent="0.3">
      <c r="A22" s="34"/>
      <c r="B22" s="13"/>
      <c r="J22" s="29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86"/>
    </row>
    <row r="23" spans="1:22" ht="18" customHeight="1" thickTop="1" thickBot="1" x14ac:dyDescent="0.3">
      <c r="A23" s="35"/>
      <c r="B23" s="13"/>
      <c r="J23" s="29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86"/>
    </row>
    <row r="24" spans="1:22" ht="18" customHeight="1" thickTop="1" thickBot="1" x14ac:dyDescent="0.3">
      <c r="A24" s="34"/>
      <c r="B24" s="13"/>
      <c r="J24" s="29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86"/>
    </row>
    <row r="25" spans="1:22" ht="18" customHeight="1" thickTop="1" thickBot="1" x14ac:dyDescent="0.3">
      <c r="A25" s="35"/>
      <c r="B25" s="13"/>
      <c r="J25" s="29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86"/>
    </row>
    <row r="26" spans="1:22" ht="18" customHeight="1" thickTop="1" thickBot="1" x14ac:dyDescent="0.3">
      <c r="A26" s="34"/>
      <c r="B26" s="13"/>
      <c r="J26" s="29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86"/>
    </row>
    <row r="27" spans="1:22" ht="18" customHeight="1" thickTop="1" thickBot="1" x14ac:dyDescent="0.3">
      <c r="A27" s="35"/>
      <c r="B27" s="13"/>
      <c r="J27" s="29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86"/>
    </row>
    <row r="28" spans="1:22" ht="18" customHeight="1" thickTop="1" thickBot="1" x14ac:dyDescent="0.3">
      <c r="A28" s="34"/>
      <c r="B28" s="13"/>
      <c r="J28" s="29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86"/>
    </row>
    <row r="29" spans="1:22" ht="18" customHeight="1" thickTop="1" thickBot="1" x14ac:dyDescent="0.3">
      <c r="A29" s="35"/>
      <c r="B29" s="13"/>
      <c r="J29" s="29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86"/>
    </row>
    <row r="30" spans="1:22" ht="18" customHeight="1" thickTop="1" thickBot="1" x14ac:dyDescent="0.3">
      <c r="A30" s="34"/>
      <c r="B30" s="13"/>
      <c r="J30" s="29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86"/>
    </row>
    <row r="31" spans="1:22" ht="18" customHeight="1" thickTop="1" thickBot="1" x14ac:dyDescent="0.3">
      <c r="A31" s="35"/>
      <c r="B31" s="13"/>
      <c r="J31" s="29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86"/>
    </row>
    <row r="32" spans="1:22" ht="18" customHeight="1" thickTop="1" thickBot="1" x14ac:dyDescent="0.3">
      <c r="A32" s="34"/>
      <c r="B32" s="13"/>
      <c r="J32" s="29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86"/>
    </row>
    <row r="33" spans="1:22" ht="18" customHeight="1" thickTop="1" thickBot="1" x14ac:dyDescent="0.3">
      <c r="A33" s="35"/>
      <c r="B33" s="13"/>
      <c r="J33" s="29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86"/>
    </row>
    <row r="34" spans="1:22" ht="18" customHeight="1" thickTop="1" thickBot="1" x14ac:dyDescent="0.3">
      <c r="A34" s="34"/>
      <c r="B34" s="13"/>
      <c r="J34" s="29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86"/>
    </row>
    <row r="35" spans="1:22" ht="18" customHeight="1" thickTop="1" thickBot="1" x14ac:dyDescent="0.3">
      <c r="A35" s="35"/>
      <c r="B35" s="13"/>
      <c r="J35" s="29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86"/>
    </row>
    <row r="36" spans="1:22" ht="18" customHeight="1" thickTop="1" thickBot="1" x14ac:dyDescent="0.3">
      <c r="A36" s="34"/>
      <c r="B36" s="13"/>
      <c r="J36" s="29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86"/>
    </row>
    <row r="37" spans="1:22" ht="18" customHeight="1" thickTop="1" thickBot="1" x14ac:dyDescent="0.3">
      <c r="A37" s="35"/>
      <c r="B37" s="13"/>
      <c r="J37" s="29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86"/>
    </row>
    <row r="38" spans="1:22" ht="18" customHeight="1" thickTop="1" thickBot="1" x14ac:dyDescent="0.3">
      <c r="A38" s="34"/>
      <c r="B38" s="13"/>
      <c r="J38" s="29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86"/>
    </row>
    <row r="39" spans="1:22" ht="18" customHeight="1" thickTop="1" thickBot="1" x14ac:dyDescent="0.3">
      <c r="A39" s="35"/>
      <c r="B39" s="13"/>
      <c r="J39" s="29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86"/>
    </row>
    <row r="40" spans="1:22" ht="18" customHeight="1" thickTop="1" thickBot="1" x14ac:dyDescent="0.3">
      <c r="A40" s="34"/>
      <c r="B40" s="13"/>
      <c r="J40" s="29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86"/>
    </row>
    <row r="41" spans="1:22" ht="18" customHeight="1" thickTop="1" thickBot="1" x14ac:dyDescent="0.3">
      <c r="A41" s="34"/>
      <c r="B41" s="13"/>
      <c r="J41" s="29"/>
      <c r="L41" s="71"/>
      <c r="M41" s="71"/>
      <c r="N41" s="71"/>
      <c r="O41" s="71"/>
      <c r="P41" s="71"/>
      <c r="Q41" s="65"/>
      <c r="R41" s="65"/>
      <c r="S41" s="65"/>
      <c r="T41" s="71"/>
      <c r="U41" s="71"/>
      <c r="V41" s="86"/>
    </row>
    <row r="42" spans="1:22" ht="18" customHeight="1" thickTop="1" thickBot="1" x14ac:dyDescent="0.3">
      <c r="A42" s="35"/>
      <c r="B42" s="13"/>
      <c r="J42" s="29"/>
      <c r="L42" s="71"/>
      <c r="M42" s="71"/>
      <c r="N42" s="71"/>
      <c r="O42" s="71"/>
      <c r="P42" s="71"/>
      <c r="Q42" s="65"/>
      <c r="R42" s="65"/>
      <c r="S42" s="65"/>
      <c r="T42" s="71"/>
      <c r="U42" s="71"/>
      <c r="V42" s="86"/>
    </row>
    <row r="43" spans="1:22" ht="18" customHeight="1" thickTop="1" thickBot="1" x14ac:dyDescent="0.3">
      <c r="A43" s="34"/>
      <c r="B43" s="13"/>
      <c r="J43" s="29"/>
      <c r="L43" s="71"/>
      <c r="M43" s="71"/>
      <c r="N43" s="71"/>
      <c r="O43" s="71"/>
      <c r="P43" s="71"/>
      <c r="Q43" s="65"/>
      <c r="R43" s="65"/>
      <c r="S43" s="65"/>
      <c r="T43" s="71"/>
      <c r="U43" s="71"/>
      <c r="V43" s="86"/>
    </row>
    <row r="44" spans="1:22" ht="18" customHeight="1" thickTop="1" thickBot="1" x14ac:dyDescent="0.3">
      <c r="A44" s="34"/>
      <c r="B44" s="13"/>
      <c r="J44" s="29"/>
      <c r="L44" s="71"/>
      <c r="M44" s="71"/>
      <c r="N44" s="71"/>
      <c r="O44" s="71"/>
      <c r="P44" s="71"/>
      <c r="Q44" s="65"/>
      <c r="R44" s="65"/>
      <c r="S44" s="65"/>
      <c r="T44" s="71"/>
      <c r="U44" s="71"/>
      <c r="V44" s="86"/>
    </row>
    <row r="45" spans="1:22" ht="18" customHeight="1" thickTop="1" thickBot="1" x14ac:dyDescent="0.3">
      <c r="A45" s="34"/>
      <c r="B45" s="13"/>
      <c r="J45" s="29"/>
      <c r="L45" s="71"/>
      <c r="M45" s="71"/>
      <c r="N45" s="71"/>
      <c r="O45" s="71"/>
      <c r="P45" s="71"/>
      <c r="Q45" s="65"/>
      <c r="R45" s="65"/>
      <c r="S45" s="65"/>
      <c r="T45" s="71"/>
      <c r="U45" s="71"/>
      <c r="V45" s="86"/>
    </row>
    <row r="46" spans="1:22" ht="18" customHeight="1" thickTop="1" thickBot="1" x14ac:dyDescent="0.3">
      <c r="A46" s="35"/>
      <c r="C46" s="13"/>
      <c r="I46"/>
      <c r="J46" s="29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86"/>
    </row>
    <row r="47" spans="1:22" ht="18" customHeight="1" thickTop="1" thickBot="1" x14ac:dyDescent="0.3">
      <c r="A47" s="34"/>
      <c r="C47" s="13"/>
      <c r="I47"/>
      <c r="J47" s="29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86"/>
    </row>
    <row r="48" spans="1:22" ht="18" customHeight="1" thickTop="1" thickBot="1" x14ac:dyDescent="0.3">
      <c r="A48" s="35"/>
      <c r="C48" s="13"/>
      <c r="I48"/>
      <c r="J48" s="29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86"/>
    </row>
    <row r="49" spans="1:22" ht="18" customHeight="1" thickTop="1" thickBot="1" x14ac:dyDescent="0.3">
      <c r="A49" s="34"/>
      <c r="C49" s="13"/>
      <c r="I49"/>
      <c r="J49" s="29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86"/>
    </row>
    <row r="50" spans="1:22" ht="18" customHeight="1" thickTop="1" thickBot="1" x14ac:dyDescent="0.3">
      <c r="A50" s="35"/>
      <c r="C50" s="13"/>
      <c r="I50"/>
      <c r="J50" s="29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86"/>
    </row>
    <row r="51" spans="1:22" ht="18" customHeight="1" thickTop="1" thickBot="1" x14ac:dyDescent="0.3">
      <c r="A51" s="34"/>
      <c r="C51" s="13"/>
      <c r="I51"/>
      <c r="J51" s="29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86"/>
    </row>
    <row r="52" spans="1:22" ht="18" customHeight="1" thickTop="1" thickBot="1" x14ac:dyDescent="0.3">
      <c r="A52" s="35"/>
      <c r="C52" s="13"/>
      <c r="I52"/>
      <c r="J52" s="29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86"/>
    </row>
    <row r="53" spans="1:22" ht="18" customHeight="1" thickTop="1" thickBot="1" x14ac:dyDescent="0.3">
      <c r="A53" s="34"/>
      <c r="C53" s="13"/>
      <c r="I53"/>
      <c r="J53" s="29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86"/>
    </row>
    <row r="54" spans="1:22" ht="18" customHeight="1" thickTop="1" thickBot="1" x14ac:dyDescent="0.3">
      <c r="A54" s="35"/>
      <c r="C54" s="13"/>
      <c r="I54"/>
      <c r="J54" s="29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86"/>
    </row>
    <row r="55" spans="1:22" ht="18" customHeight="1" thickTop="1" thickBot="1" x14ac:dyDescent="0.3">
      <c r="A55" s="34"/>
      <c r="C55" s="13"/>
      <c r="I55"/>
      <c r="J55" s="29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86"/>
    </row>
    <row r="56" spans="1:22" ht="18" customHeight="1" thickTop="1" thickBot="1" x14ac:dyDescent="0.3">
      <c r="A56" s="35"/>
      <c r="C56" s="13"/>
      <c r="I56"/>
      <c r="J56" s="29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86"/>
    </row>
    <row r="57" spans="1:22" ht="18" customHeight="1" thickTop="1" thickBot="1" x14ac:dyDescent="0.3">
      <c r="A57" s="34"/>
      <c r="C57" s="13"/>
      <c r="I57"/>
      <c r="J57" s="29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86"/>
    </row>
    <row r="58" spans="1:22" ht="18" customHeight="1" thickTop="1" thickBot="1" x14ac:dyDescent="0.3">
      <c r="A58" s="35"/>
      <c r="C58" s="13"/>
      <c r="I58"/>
      <c r="J58" s="29"/>
      <c r="L58" s="65"/>
      <c r="M58" s="65"/>
      <c r="N58" s="65"/>
      <c r="O58" s="65"/>
      <c r="P58" s="65" t="str">
        <f>IFERROR(INDEX(RECICLADORES!C:C,MATCH(D58,RECICLADORES!B:B,0)),"")</f>
        <v/>
      </c>
      <c r="Q58" s="65"/>
      <c r="R58" s="65"/>
      <c r="S58" s="65"/>
      <c r="T58" s="65"/>
      <c r="U58" s="65"/>
      <c r="V58" s="86"/>
    </row>
    <row r="59" spans="1:22" ht="18" customHeight="1" thickTop="1" thickBot="1" x14ac:dyDescent="0.3">
      <c r="A59" s="34"/>
      <c r="C59" s="13"/>
      <c r="I59"/>
      <c r="J59" s="29"/>
      <c r="L59" s="65"/>
      <c r="M59" s="65"/>
      <c r="N59" s="65"/>
      <c r="O59" s="65"/>
      <c r="P59" s="65" t="str">
        <f>IFERROR(INDEX(RECICLADORES!C:C,MATCH(D59,RECICLADORES!B:B,0)),"")</f>
        <v/>
      </c>
      <c r="Q59" s="65"/>
      <c r="R59" s="65"/>
      <c r="S59" s="65"/>
      <c r="T59" s="65"/>
      <c r="U59" s="65"/>
      <c r="V59" s="86"/>
    </row>
    <row r="60" spans="1:22" ht="18" customHeight="1" thickTop="1" thickBot="1" x14ac:dyDescent="0.3">
      <c r="A60" s="35"/>
      <c r="C60" s="13"/>
      <c r="I60"/>
      <c r="J60" s="29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86"/>
    </row>
    <row r="61" spans="1:22" ht="18" customHeight="1" thickTop="1" thickBot="1" x14ac:dyDescent="0.3">
      <c r="A61" s="34"/>
      <c r="C61" s="13"/>
      <c r="I61"/>
      <c r="J61" s="29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86"/>
    </row>
    <row r="62" spans="1:22" ht="18" customHeight="1" thickTop="1" thickBot="1" x14ac:dyDescent="0.3">
      <c r="A62" s="35"/>
      <c r="C62" s="13"/>
      <c r="I62"/>
      <c r="J62" s="29"/>
      <c r="L62" s="71"/>
      <c r="M62" s="71"/>
      <c r="N62" s="71"/>
      <c r="O62" s="71"/>
      <c r="P62" s="71" t="str">
        <f>IFERROR(INDEX(RECICLADORES!C:C,MATCH(D62,RECICLADORES!B:B,0)),"")</f>
        <v/>
      </c>
      <c r="Q62" s="71" t="str">
        <f>IFERROR(INDEX(RECICLADORES!O:O,MATCH(D62,RECICLADORES!B:B,0)),"")</f>
        <v/>
      </c>
      <c r="R62" s="65"/>
      <c r="S62" s="65"/>
      <c r="T62" s="71"/>
      <c r="U62" s="71"/>
      <c r="V62" s="86"/>
    </row>
    <row r="63" spans="1:22" ht="18" customHeight="1" thickTop="1" thickBot="1" x14ac:dyDescent="0.3">
      <c r="A63" s="34"/>
      <c r="C63" s="13"/>
      <c r="I63"/>
      <c r="J63" s="29"/>
      <c r="L63" s="71"/>
      <c r="M63" s="71"/>
      <c r="N63" s="71"/>
      <c r="O63" s="71"/>
      <c r="P63" s="71" t="str">
        <f>IFERROR(INDEX(RECICLADORES!C:C,MATCH(D63,RECICLADORES!B:B,0)),"")</f>
        <v/>
      </c>
      <c r="Q63" s="71" t="str">
        <f>IFERROR(INDEX(RECICLADORES!O:O,MATCH(D63,RECICLADORES!B:B,0)),"")</f>
        <v/>
      </c>
      <c r="R63" s="65"/>
      <c r="S63" s="65"/>
      <c r="T63" s="71"/>
      <c r="U63" s="71"/>
      <c r="V63" s="86"/>
    </row>
    <row r="64" spans="1:22" ht="18" customHeight="1" thickTop="1" thickBot="1" x14ac:dyDescent="0.3">
      <c r="A64" s="35"/>
      <c r="C64" s="13"/>
      <c r="I64"/>
      <c r="J64" s="29"/>
      <c r="L64" s="71"/>
      <c r="M64" s="71"/>
      <c r="N64" s="71"/>
      <c r="O64" s="71"/>
      <c r="P64" s="71" t="str">
        <f>IFERROR(INDEX(RECICLADORES!C:C,MATCH(D64,RECICLADORES!B:B,0)),"")</f>
        <v/>
      </c>
      <c r="Q64" s="71" t="str">
        <f>IFERROR(INDEX(RECICLADORES!O:O,MATCH(D64,RECICLADORES!B:B,0)),"")</f>
        <v/>
      </c>
      <c r="R64" s="65"/>
      <c r="S64" s="65"/>
      <c r="T64" s="71"/>
      <c r="U64" s="71"/>
      <c r="V64" s="86"/>
    </row>
    <row r="65" spans="1:22" ht="18" customHeight="1" thickTop="1" thickBot="1" x14ac:dyDescent="0.3">
      <c r="A65" s="34"/>
      <c r="C65" s="13"/>
      <c r="I65"/>
      <c r="J65" s="29"/>
      <c r="L65" s="71"/>
      <c r="M65" s="71"/>
      <c r="N65" s="71"/>
      <c r="O65" s="71"/>
      <c r="P65" s="71" t="str">
        <f>IFERROR(INDEX(RECICLADORES!C:C,MATCH(D65,RECICLADORES!B:B,0)),"")</f>
        <v/>
      </c>
      <c r="Q65" s="71" t="str">
        <f>IFERROR(INDEX(RECICLADORES!O:O,MATCH(D65,RECICLADORES!B:B,0)),"")</f>
        <v/>
      </c>
      <c r="R65" s="65"/>
      <c r="S65" s="65"/>
      <c r="T65" s="71"/>
      <c r="U65" s="71"/>
      <c r="V65" s="86"/>
    </row>
    <row r="66" spans="1:22" ht="18" customHeight="1" thickTop="1" thickBot="1" x14ac:dyDescent="0.3">
      <c r="A66" s="35"/>
      <c r="C66" s="13"/>
      <c r="I66"/>
      <c r="J66" s="29"/>
      <c r="L66" s="71"/>
      <c r="M66" s="71"/>
      <c r="N66" s="71"/>
      <c r="O66" s="71"/>
      <c r="P66" s="71" t="str">
        <f>IFERROR(INDEX(RECICLADORES!C:C,MATCH(D66,RECICLADORES!B:B,0)),"")</f>
        <v/>
      </c>
      <c r="Q66" s="71" t="str">
        <f>IFERROR(INDEX(RECICLADORES!O:O,MATCH(D66,RECICLADORES!B:B,0)),"")</f>
        <v/>
      </c>
      <c r="R66" s="65"/>
      <c r="S66" s="65"/>
      <c r="T66" s="71"/>
      <c r="U66" s="71"/>
      <c r="V66" s="86"/>
    </row>
    <row r="67" spans="1:22" ht="18" customHeight="1" thickTop="1" thickBot="1" x14ac:dyDescent="0.3">
      <c r="A67" s="34"/>
      <c r="C67" s="13"/>
      <c r="I67"/>
      <c r="J67" s="29"/>
      <c r="L67" s="71"/>
      <c r="M67" s="71"/>
      <c r="N67" s="71"/>
      <c r="O67" s="71"/>
      <c r="P67" s="71" t="str">
        <f>IFERROR(INDEX(RECICLADORES!C:C,MATCH(D67,RECICLADORES!B:B,0)),"")</f>
        <v/>
      </c>
      <c r="Q67" s="71" t="str">
        <f>IFERROR(INDEX(RECICLADORES!O:O,MATCH(D67,RECICLADORES!B:B,0)),"")</f>
        <v/>
      </c>
      <c r="R67" s="65"/>
      <c r="S67" s="65"/>
      <c r="T67" s="71"/>
      <c r="U67" s="71"/>
      <c r="V67" s="86"/>
    </row>
    <row r="68" spans="1:22" ht="18" customHeight="1" thickTop="1" thickBot="1" x14ac:dyDescent="0.3">
      <c r="A68" s="35"/>
      <c r="C68" s="13"/>
      <c r="I68"/>
      <c r="J68" s="29"/>
      <c r="L68" s="71"/>
      <c r="M68" s="71"/>
      <c r="N68" s="71"/>
      <c r="O68" s="71"/>
      <c r="P68" s="71" t="str">
        <f>IFERROR(INDEX(RECICLADORES!C:C,MATCH(D68,RECICLADORES!B:B,0)),"")</f>
        <v/>
      </c>
      <c r="Q68" s="71" t="str">
        <f>IFERROR(INDEX(RECICLADORES!O:O,MATCH(D68,RECICLADORES!B:B,0)),"")</f>
        <v/>
      </c>
      <c r="R68" s="65"/>
      <c r="S68" s="65"/>
      <c r="T68" s="71"/>
      <c r="U68" s="71"/>
      <c r="V68" s="86"/>
    </row>
    <row r="69" spans="1:22" ht="18" customHeight="1" thickTop="1" thickBot="1" x14ac:dyDescent="0.3">
      <c r="A69" s="34"/>
      <c r="C69" s="13"/>
      <c r="I69"/>
      <c r="J69" s="29"/>
      <c r="L69" s="71"/>
      <c r="M69" s="71"/>
      <c r="N69" s="71"/>
      <c r="O69" s="71"/>
      <c r="P69" s="71" t="str">
        <f>IFERROR(INDEX(RECICLADORES!C:C,MATCH(D69,RECICLADORES!B:B,0)),"")</f>
        <v/>
      </c>
      <c r="Q69" s="71" t="str">
        <f>IFERROR(INDEX(RECICLADORES!O:O,MATCH(D69,RECICLADORES!B:B,0)),"")</f>
        <v/>
      </c>
      <c r="R69" s="65"/>
      <c r="S69" s="65"/>
      <c r="T69" s="71"/>
      <c r="U69" s="71"/>
      <c r="V69" s="86"/>
    </row>
    <row r="70" spans="1:22" ht="18" customHeight="1" thickTop="1" thickBot="1" x14ac:dyDescent="0.3">
      <c r="A70" s="35"/>
      <c r="C70" s="13"/>
      <c r="I70"/>
      <c r="J70" s="29"/>
      <c r="L70" s="71"/>
      <c r="M70" s="71"/>
      <c r="N70" s="71"/>
      <c r="O70" s="71"/>
      <c r="P70" s="71" t="str">
        <f>IFERROR(INDEX(RECICLADORES!C:C,MATCH(D70,RECICLADORES!B:B,0)),"")</f>
        <v/>
      </c>
      <c r="Q70" s="71" t="str">
        <f>IFERROR(INDEX(RECICLADORES!O:O,MATCH(D70,RECICLADORES!B:B,0)),"")</f>
        <v/>
      </c>
      <c r="R70" s="65"/>
      <c r="S70" s="65"/>
      <c r="T70" s="71"/>
      <c r="U70" s="71"/>
      <c r="V70" s="86"/>
    </row>
    <row r="71" spans="1:22" ht="18" customHeight="1" thickTop="1" thickBot="1" x14ac:dyDescent="0.3">
      <c r="A71" s="34"/>
      <c r="C71" s="13"/>
      <c r="I71"/>
      <c r="J71" s="29"/>
      <c r="L71" s="71"/>
      <c r="M71" s="71"/>
      <c r="N71" s="71"/>
      <c r="O71" s="71"/>
      <c r="P71" s="71" t="str">
        <f>IFERROR(INDEX(RECICLADORES!C:C,MATCH(D71,RECICLADORES!B:B,0)),"")</f>
        <v/>
      </c>
      <c r="Q71" s="71" t="str">
        <f>IFERROR(INDEX(RECICLADORES!O:O,MATCH(D71,RECICLADORES!B:B,0)),"")</f>
        <v/>
      </c>
      <c r="R71" s="65"/>
      <c r="S71" s="65"/>
      <c r="T71" s="71"/>
      <c r="U71" s="71"/>
      <c r="V71" s="86"/>
    </row>
    <row r="72" spans="1:22" ht="18" customHeight="1" thickTop="1" thickBot="1" x14ac:dyDescent="0.3">
      <c r="A72" s="35"/>
      <c r="C72" s="13"/>
      <c r="I72"/>
      <c r="J72" s="29"/>
      <c r="L72" s="71"/>
      <c r="M72" s="71"/>
      <c r="N72" s="71"/>
      <c r="O72" s="71"/>
      <c r="P72" s="71" t="str">
        <f>IFERROR(INDEX(RECICLADORES!C:C,MATCH(D72,RECICLADORES!B:B,0)),"")</f>
        <v/>
      </c>
      <c r="Q72" s="71" t="str">
        <f>IFERROR(INDEX(RECICLADORES!O:O,MATCH(D72,RECICLADORES!B:B,0)),"")</f>
        <v/>
      </c>
      <c r="R72" s="65"/>
      <c r="S72" s="65"/>
      <c r="T72" s="71"/>
      <c r="U72" s="71"/>
      <c r="V72" s="86"/>
    </row>
    <row r="73" spans="1:22" ht="18" customHeight="1" thickTop="1" thickBot="1" x14ac:dyDescent="0.3">
      <c r="A73" s="34"/>
      <c r="C73" s="13"/>
      <c r="I73"/>
      <c r="J73" s="29"/>
      <c r="L73" s="71"/>
      <c r="M73" s="71"/>
      <c r="N73" s="71"/>
      <c r="O73" s="71"/>
      <c r="P73" s="71" t="str">
        <f>IFERROR(INDEX(RECICLADORES!C:C,MATCH(D73,RECICLADORES!B:B,0)),"")</f>
        <v/>
      </c>
      <c r="Q73" s="71" t="str">
        <f>IFERROR(INDEX(RECICLADORES!O:O,MATCH(D73,RECICLADORES!B:B,0)),"")</f>
        <v/>
      </c>
      <c r="R73" s="65"/>
      <c r="S73" s="65"/>
      <c r="T73" s="71"/>
      <c r="U73" s="71"/>
      <c r="V73" s="86"/>
    </row>
    <row r="74" spans="1:22" ht="18" customHeight="1" thickTop="1" thickBot="1" x14ac:dyDescent="0.3">
      <c r="A74" s="35"/>
      <c r="C74" s="13"/>
      <c r="I74"/>
      <c r="J74" s="29" t="str">
        <f>IF(C74="","",INT((DAY(C74)-1)/7)+1)</f>
        <v/>
      </c>
      <c r="L74" s="71"/>
      <c r="M74" s="71"/>
      <c r="N74" s="71"/>
      <c r="O74" s="71"/>
      <c r="P74" s="71" t="str">
        <f>IFERROR(INDEX(RECICLADORES!C:C,MATCH(D74,RECICLADORES!B:B,0)),"")</f>
        <v/>
      </c>
      <c r="Q74" s="71" t="str">
        <f>IFERROR(INDEX(RECICLADORES!O:O,MATCH(D74,RECICLADORES!B:B,0)),"")</f>
        <v/>
      </c>
      <c r="R74" s="65"/>
      <c r="S74" s="65"/>
      <c r="T74" s="71"/>
      <c r="U74" s="71"/>
      <c r="V74" s="86"/>
    </row>
    <row r="75" spans="1:22" ht="18" customHeight="1" thickTop="1" thickBot="1" x14ac:dyDescent="0.3">
      <c r="A75" s="34"/>
      <c r="C75" s="13"/>
      <c r="I75"/>
      <c r="J75" s="29" t="str">
        <f>IF(C75="","",INT((DAY(C75)-1)/7)+1)</f>
        <v/>
      </c>
      <c r="L75" s="71"/>
      <c r="M75" s="71"/>
      <c r="N75" s="71"/>
      <c r="O75" s="71"/>
      <c r="P75" s="71" t="str">
        <f>IFERROR(INDEX(RECICLADORES!C:C,MATCH(D75,RECICLADORES!B:B,0)),"")</f>
        <v/>
      </c>
      <c r="Q75" s="71" t="str">
        <f>IFERROR(INDEX(RECICLADORES!O:O,MATCH(D75,RECICLADORES!B:B,0)),"")</f>
        <v/>
      </c>
      <c r="R75" s="65"/>
      <c r="S75" s="65"/>
      <c r="T75" s="71"/>
      <c r="U75" s="71"/>
      <c r="V75" s="86"/>
    </row>
    <row r="76" spans="1:22" ht="18" customHeight="1" thickTop="1" thickBot="1" x14ac:dyDescent="0.3">
      <c r="A76" s="35"/>
      <c r="C76" s="13"/>
      <c r="I76"/>
      <c r="J76" s="29" t="str">
        <f>IF(C76="","",INT((DAY(C76)-1)/7)+1)</f>
        <v/>
      </c>
      <c r="L76" s="71"/>
      <c r="M76" s="71"/>
      <c r="N76" s="71"/>
      <c r="O76" s="71"/>
      <c r="P76" s="71" t="str">
        <f>IFERROR(INDEX(RECICLADORES!C:C,MATCH(D76,RECICLADORES!B:B,0)),"")</f>
        <v/>
      </c>
      <c r="Q76" s="71" t="str">
        <f>IFERROR(INDEX(RECICLADORES!O:O,MATCH(D76,RECICLADORES!B:B,0)),"")</f>
        <v/>
      </c>
      <c r="R76" s="65"/>
      <c r="S76" s="65"/>
      <c r="T76" s="71"/>
      <c r="U76" s="71"/>
      <c r="V76" s="86"/>
    </row>
    <row r="77" spans="1:22" ht="18" customHeight="1" thickTop="1" thickBot="1" x14ac:dyDescent="0.3">
      <c r="A77" s="35"/>
      <c r="C77" s="13"/>
      <c r="I77"/>
      <c r="J77" s="29" t="str">
        <f>IF(C77="","",INT((DAY(C77)-1)/7)+1)</f>
        <v/>
      </c>
      <c r="L77" s="71"/>
      <c r="M77" s="71"/>
      <c r="N77" s="71"/>
      <c r="O77" s="71"/>
      <c r="P77" s="71" t="str">
        <f>IFERROR(INDEX(RECICLADORES!C:C,MATCH(D77,RECICLADORES!B:B,0)),"")</f>
        <v/>
      </c>
      <c r="Q77" s="71" t="str">
        <f>IFERROR(INDEX(RECICLADORES!O:O,MATCH(D77,RECICLADORES!B:B,0)),"")</f>
        <v/>
      </c>
      <c r="R77" s="65"/>
      <c r="S77" s="65"/>
      <c r="T77" s="71"/>
      <c r="U77" s="71"/>
      <c r="V77" s="86"/>
    </row>
    <row r="78" spans="1:22" ht="18" customHeight="1" thickTop="1" thickBot="1" x14ac:dyDescent="0.3">
      <c r="A78" s="34"/>
      <c r="C78" s="13"/>
      <c r="I78"/>
      <c r="J78" s="29"/>
      <c r="L78" s="71"/>
      <c r="M78" s="71"/>
      <c r="N78" s="71"/>
      <c r="O78" s="71"/>
      <c r="P78" s="71" t="str">
        <f>IFERROR(INDEX(RECICLADORES!C:C,MATCH(D78,RECICLADORES!B:B,0)),"")</f>
        <v/>
      </c>
      <c r="Q78" s="71" t="str">
        <f>IFERROR(INDEX(RECICLADORES!O:O,MATCH(D78,RECICLADORES!B:B,0)),"")</f>
        <v/>
      </c>
      <c r="R78" s="65"/>
      <c r="S78" s="65"/>
      <c r="T78" s="71"/>
      <c r="U78" s="71"/>
      <c r="V78" s="86"/>
    </row>
    <row r="79" spans="1:22" ht="18" customHeight="1" thickTop="1" thickBot="1" x14ac:dyDescent="0.3">
      <c r="A79" s="35"/>
      <c r="C79" s="13"/>
      <c r="I79"/>
      <c r="J79" s="29"/>
      <c r="L79" s="71"/>
      <c r="M79" s="71"/>
      <c r="N79" s="71"/>
      <c r="O79" s="71"/>
      <c r="P79" s="71" t="str">
        <f>IFERROR(INDEX(RECICLADORES!C:C,MATCH(D79,RECICLADORES!B:B,0)),"")</f>
        <v/>
      </c>
      <c r="Q79" s="71" t="str">
        <f>IFERROR(INDEX(RECICLADORES!O:O,MATCH(D79,RECICLADORES!B:B,0)),"")</f>
        <v/>
      </c>
      <c r="R79" s="65"/>
      <c r="S79" s="65"/>
      <c r="T79" s="71"/>
      <c r="U79" s="71"/>
      <c r="V79" s="86"/>
    </row>
    <row r="80" spans="1:22" ht="18" customHeight="1" thickTop="1" thickBot="1" x14ac:dyDescent="0.3">
      <c r="A80" s="34"/>
      <c r="C80" s="13"/>
      <c r="I80"/>
      <c r="J80" s="29"/>
      <c r="L80" s="71"/>
      <c r="M80" s="71"/>
      <c r="N80" s="71"/>
      <c r="O80" s="71"/>
      <c r="P80" s="71" t="str">
        <f>IFERROR(INDEX(RECICLADORES!C:C,MATCH(D80,RECICLADORES!B:B,0)),"")</f>
        <v/>
      </c>
      <c r="Q80" s="71" t="str">
        <f>IFERROR(INDEX(RECICLADORES!O:O,MATCH(D80,RECICLADORES!B:B,0)),"")</f>
        <v/>
      </c>
      <c r="R80" s="65"/>
      <c r="S80" s="65"/>
      <c r="T80" s="71"/>
      <c r="U80" s="71"/>
      <c r="V80" s="86"/>
    </row>
    <row r="81" spans="1:22" ht="18" customHeight="1" thickTop="1" thickBot="1" x14ac:dyDescent="0.3">
      <c r="A81" s="35"/>
      <c r="C81" s="13"/>
      <c r="I81"/>
      <c r="J81" s="29"/>
      <c r="L81" s="71"/>
      <c r="M81" s="71"/>
      <c r="N81" s="71"/>
      <c r="O81" s="71"/>
      <c r="P81" s="71" t="str">
        <f>IFERROR(INDEX(RECICLADORES!C:C,MATCH(D81,RECICLADORES!B:B,0)),"")</f>
        <v/>
      </c>
      <c r="Q81" s="71" t="str">
        <f>IFERROR(INDEX(RECICLADORES!O:O,MATCH(D81,RECICLADORES!B:B,0)),"")</f>
        <v/>
      </c>
      <c r="R81" s="65"/>
      <c r="S81" s="65"/>
      <c r="T81" s="71"/>
      <c r="U81" s="71"/>
      <c r="V81" s="86"/>
    </row>
    <row r="82" spans="1:22" ht="18" customHeight="1" thickTop="1" thickBot="1" x14ac:dyDescent="0.3">
      <c r="A82" s="34"/>
      <c r="C82" s="13"/>
      <c r="I82"/>
      <c r="J82" s="29"/>
      <c r="L82" s="71"/>
      <c r="M82" s="71"/>
      <c r="N82" s="71"/>
      <c r="O82" s="71"/>
      <c r="P82" s="71" t="str">
        <f>IFERROR(INDEX(RECICLADORES!C:C,MATCH(D82,RECICLADORES!B:B,0)),"")</f>
        <v/>
      </c>
      <c r="Q82" s="71" t="str">
        <f>IFERROR(INDEX(RECICLADORES!O:O,MATCH(D82,RECICLADORES!B:B,0)),"")</f>
        <v/>
      </c>
      <c r="R82" s="65"/>
      <c r="S82" s="65"/>
      <c r="T82" s="71"/>
      <c r="U82" s="71"/>
      <c r="V82" s="86"/>
    </row>
    <row r="83" spans="1:22" ht="18" customHeight="1" thickTop="1" thickBot="1" x14ac:dyDescent="0.3">
      <c r="A83" s="35"/>
      <c r="C83" s="13"/>
      <c r="I83"/>
      <c r="J83" s="29"/>
      <c r="L83" s="71"/>
      <c r="M83" s="71"/>
      <c r="N83" s="71"/>
      <c r="O83" s="71"/>
      <c r="P83" s="71" t="str">
        <f>IFERROR(INDEX(RECICLADORES!C:C,MATCH(D83,RECICLADORES!B:B,0)),"")</f>
        <v/>
      </c>
      <c r="Q83" s="71" t="str">
        <f>IFERROR(INDEX(RECICLADORES!O:O,MATCH(D83,RECICLADORES!B:B,0)),"")</f>
        <v/>
      </c>
      <c r="R83" s="65"/>
      <c r="S83" s="65"/>
      <c r="T83" s="71"/>
      <c r="U83" s="71"/>
      <c r="V83" s="86"/>
    </row>
    <row r="84" spans="1:22" ht="18" customHeight="1" thickTop="1" thickBot="1" x14ac:dyDescent="0.3">
      <c r="A84" s="34"/>
      <c r="C84" s="13"/>
      <c r="I84"/>
      <c r="J84" s="29"/>
      <c r="L84" s="71"/>
      <c r="M84" s="71"/>
      <c r="N84" s="71"/>
      <c r="O84" s="71"/>
      <c r="P84" s="71" t="str">
        <f>IFERROR(INDEX(RECICLADORES!C:C,MATCH(D84,RECICLADORES!B:B,0)),"")</f>
        <v/>
      </c>
      <c r="Q84" s="71" t="str">
        <f>IFERROR(INDEX(RECICLADORES!O:O,MATCH(D84,RECICLADORES!B:B,0)),"")</f>
        <v/>
      </c>
      <c r="R84" s="65"/>
      <c r="S84" s="65"/>
      <c r="T84" s="71"/>
      <c r="U84" s="71"/>
      <c r="V84" s="86"/>
    </row>
    <row r="85" spans="1:22" ht="18" customHeight="1" thickTop="1" thickBot="1" x14ac:dyDescent="0.3">
      <c r="A85" s="35"/>
      <c r="C85" s="13"/>
      <c r="I85"/>
      <c r="J85" s="29"/>
      <c r="L85" s="71"/>
      <c r="M85" s="71"/>
      <c r="N85" s="71"/>
      <c r="O85" s="71"/>
      <c r="P85" s="71" t="str">
        <f>IFERROR(INDEX(RECICLADORES!C:C,MATCH(D85,RECICLADORES!B:B,0)),"")</f>
        <v/>
      </c>
      <c r="Q85" s="71" t="str">
        <f>IFERROR(INDEX(RECICLADORES!O:O,MATCH(D85,RECICLADORES!B:B,0)),"")</f>
        <v/>
      </c>
      <c r="R85" s="65"/>
      <c r="S85" s="65"/>
      <c r="T85" s="71"/>
      <c r="U85" s="71"/>
      <c r="V85" s="86"/>
    </row>
    <row r="86" spans="1:22" ht="18" customHeight="1" thickTop="1" thickBot="1" x14ac:dyDescent="0.3">
      <c r="A86" s="34"/>
      <c r="C86" s="13"/>
      <c r="I86"/>
      <c r="J86" s="29"/>
      <c r="L86" s="71"/>
      <c r="M86" s="71"/>
      <c r="N86" s="71"/>
      <c r="O86" s="71"/>
      <c r="P86" s="71" t="str">
        <f>IFERROR(INDEX(RECICLADORES!C:C,MATCH(D86,RECICLADORES!B:B,0)),"")</f>
        <v/>
      </c>
      <c r="Q86" s="71" t="str">
        <f>IFERROR(INDEX(RECICLADORES!O:O,MATCH(D86,RECICLADORES!B:B,0)),"")</f>
        <v/>
      </c>
      <c r="R86" s="65"/>
      <c r="S86" s="65"/>
      <c r="T86" s="71"/>
      <c r="U86" s="71"/>
      <c r="V86" s="86"/>
    </row>
    <row r="87" spans="1:22" ht="18" customHeight="1" thickTop="1" thickBot="1" x14ac:dyDescent="0.3">
      <c r="A87" s="35"/>
      <c r="C87" s="13"/>
      <c r="I87"/>
      <c r="J87" s="29"/>
      <c r="L87" s="71"/>
      <c r="M87" s="71"/>
      <c r="N87" s="71"/>
      <c r="O87" s="71"/>
      <c r="P87" s="71" t="str">
        <f>IFERROR(INDEX(RECICLADORES!C:C,MATCH(D87,RECICLADORES!B:B,0)),"")</f>
        <v/>
      </c>
      <c r="Q87" s="71" t="str">
        <f>IFERROR(INDEX(RECICLADORES!O:O,MATCH(D87,RECICLADORES!B:B,0)),"")</f>
        <v/>
      </c>
      <c r="R87" s="65"/>
      <c r="S87" s="65"/>
      <c r="T87" s="71"/>
      <c r="U87" s="71"/>
      <c r="V87" s="86"/>
    </row>
    <row r="88" spans="1:22" ht="18" customHeight="1" thickTop="1" thickBot="1" x14ac:dyDescent="0.3">
      <c r="A88" s="34"/>
      <c r="C88" s="13"/>
      <c r="I88"/>
      <c r="J88" s="29"/>
      <c r="L88" s="71"/>
      <c r="M88" s="71"/>
      <c r="N88" s="71"/>
      <c r="O88" s="71"/>
      <c r="P88" s="71" t="str">
        <f>IFERROR(INDEX(RECICLADORES!C:C,MATCH(D88,RECICLADORES!B:B,0)),"")</f>
        <v/>
      </c>
      <c r="Q88" s="71" t="str">
        <f>IFERROR(INDEX(RECICLADORES!O:O,MATCH(D88,RECICLADORES!B:B,0)),"")</f>
        <v/>
      </c>
      <c r="R88" s="65"/>
      <c r="S88" s="65"/>
      <c r="T88" s="71"/>
      <c r="U88" s="71"/>
      <c r="V88" s="86"/>
    </row>
    <row r="89" spans="1:22" ht="18" customHeight="1" thickTop="1" thickBot="1" x14ac:dyDescent="0.3">
      <c r="A89" s="35"/>
      <c r="C89" s="13"/>
      <c r="I89"/>
      <c r="J89" s="29"/>
      <c r="L89" s="71"/>
      <c r="M89" s="71"/>
      <c r="N89" s="71"/>
      <c r="O89" s="71"/>
      <c r="P89" s="71" t="str">
        <f>IFERROR(INDEX(RECICLADORES!C:C,MATCH(D89,RECICLADORES!B:B,0)),"")</f>
        <v/>
      </c>
      <c r="Q89" s="71" t="str">
        <f>IFERROR(INDEX(RECICLADORES!O:O,MATCH(D89,RECICLADORES!B:B,0)),"")</f>
        <v/>
      </c>
      <c r="R89" s="65"/>
      <c r="S89" s="65"/>
      <c r="T89" s="71"/>
      <c r="U89" s="71"/>
      <c r="V89" s="86"/>
    </row>
    <row r="90" spans="1:22" ht="18" customHeight="1" thickTop="1" thickBot="1" x14ac:dyDescent="0.3">
      <c r="A90" s="34"/>
      <c r="C90" s="13"/>
      <c r="I90"/>
      <c r="J90" s="29"/>
      <c r="L90" s="71"/>
      <c r="M90" s="71"/>
      <c r="N90" s="71"/>
      <c r="O90" s="71"/>
      <c r="P90" s="71" t="str">
        <f>IFERROR(INDEX(RECICLADORES!C:C,MATCH(D90,RECICLADORES!B:B,0)),"")</f>
        <v/>
      </c>
      <c r="Q90" s="71" t="str">
        <f>IFERROR(INDEX(RECICLADORES!O:O,MATCH(D90,RECICLADORES!B:B,0)),"")</f>
        <v/>
      </c>
      <c r="R90" s="65"/>
      <c r="S90" s="65"/>
      <c r="T90" s="71"/>
      <c r="U90" s="71"/>
      <c r="V90" s="86"/>
    </row>
    <row r="91" spans="1:22" ht="18" customHeight="1" thickTop="1" thickBot="1" x14ac:dyDescent="0.3">
      <c r="A91" s="35"/>
      <c r="C91" s="13"/>
      <c r="I91"/>
      <c r="J91" s="29"/>
      <c r="L91" s="71"/>
      <c r="M91" s="71"/>
      <c r="N91" s="71"/>
      <c r="O91" s="71"/>
      <c r="P91" s="71" t="str">
        <f>IFERROR(INDEX(RECICLADORES!C:C,MATCH(D91,RECICLADORES!B:B,0)),"")</f>
        <v/>
      </c>
      <c r="Q91" s="71" t="str">
        <f>IFERROR(INDEX(RECICLADORES!O:O,MATCH(D91,RECICLADORES!B:B,0)),"")</f>
        <v/>
      </c>
      <c r="R91" s="65"/>
      <c r="S91" s="65"/>
      <c r="T91" s="71"/>
      <c r="U91" s="71"/>
      <c r="V91" s="86"/>
    </row>
    <row r="92" spans="1:22" ht="18" customHeight="1" thickTop="1" thickBot="1" x14ac:dyDescent="0.3">
      <c r="A92" s="34"/>
      <c r="C92" s="13"/>
      <c r="I92"/>
      <c r="J92" s="29"/>
      <c r="L92" s="71"/>
      <c r="M92" s="71"/>
      <c r="N92" s="71"/>
      <c r="O92" s="71"/>
      <c r="P92" s="71" t="str">
        <f>IFERROR(INDEX(RECICLADORES!C:C,MATCH(D92,RECICLADORES!B:B,0)),"")</f>
        <v/>
      </c>
      <c r="Q92" s="71" t="str">
        <f>IFERROR(INDEX(RECICLADORES!O:O,MATCH(D92,RECICLADORES!B:B,0)),"")</f>
        <v/>
      </c>
      <c r="R92" s="65"/>
      <c r="S92" s="65"/>
      <c r="T92" s="71"/>
      <c r="U92" s="71"/>
      <c r="V92" s="86"/>
    </row>
    <row r="93" spans="1:22" ht="18" customHeight="1" thickTop="1" thickBot="1" x14ac:dyDescent="0.3">
      <c r="A93" s="35"/>
      <c r="C93" s="13"/>
      <c r="I93"/>
      <c r="J93" s="29"/>
      <c r="L93" s="71"/>
      <c r="M93" s="71"/>
      <c r="N93" s="71"/>
      <c r="O93" s="71"/>
      <c r="P93" s="71" t="str">
        <f>IFERROR(INDEX(RECICLADORES!C:C,MATCH(D93,RECICLADORES!B:B,0)),"")</f>
        <v/>
      </c>
      <c r="Q93" s="71" t="str">
        <f>IFERROR(INDEX(RECICLADORES!O:O,MATCH(D93,RECICLADORES!B:B,0)),"")</f>
        <v/>
      </c>
      <c r="R93" s="65"/>
      <c r="S93" s="65"/>
      <c r="T93" s="71"/>
      <c r="U93" s="71"/>
      <c r="V93" s="86"/>
    </row>
    <row r="94" spans="1:22" ht="18" customHeight="1" thickTop="1" thickBot="1" x14ac:dyDescent="0.3">
      <c r="A94" s="34"/>
      <c r="C94" s="13"/>
      <c r="I94"/>
      <c r="J94" s="29"/>
      <c r="L94" s="71"/>
      <c r="M94" s="71"/>
      <c r="N94" s="71"/>
      <c r="O94" s="71"/>
      <c r="P94" s="71" t="str">
        <f>IFERROR(INDEX(RECICLADORES!C:C,MATCH(D94,RECICLADORES!B:B,0)),"")</f>
        <v/>
      </c>
      <c r="Q94" s="71" t="str">
        <f>IFERROR(INDEX(RECICLADORES!O:O,MATCH(D94,RECICLADORES!B:B,0)),"")</f>
        <v/>
      </c>
      <c r="R94" s="65"/>
      <c r="S94" s="65"/>
      <c r="T94" s="71"/>
      <c r="U94" s="71"/>
      <c r="V94" s="86"/>
    </row>
    <row r="95" spans="1:22" ht="18" customHeight="1" thickTop="1" thickBot="1" x14ac:dyDescent="0.3">
      <c r="A95" s="35"/>
      <c r="C95" s="13"/>
      <c r="I95"/>
      <c r="J95" s="29"/>
      <c r="L95" s="71"/>
      <c r="M95" s="71"/>
      <c r="N95" s="71"/>
      <c r="O95" s="71"/>
      <c r="P95" s="71" t="str">
        <f>IFERROR(INDEX(RECICLADORES!C:C,MATCH(D95,RECICLADORES!B:B,0)),"")</f>
        <v/>
      </c>
      <c r="Q95" s="71" t="str">
        <f>IFERROR(INDEX(RECICLADORES!O:O,MATCH(D95,RECICLADORES!B:B,0)),"")</f>
        <v/>
      </c>
      <c r="R95" s="65"/>
      <c r="S95" s="65"/>
      <c r="T95" s="71"/>
      <c r="U95" s="71"/>
      <c r="V95" s="86"/>
    </row>
    <row r="96" spans="1:22" ht="18" customHeight="1" thickTop="1" thickBot="1" x14ac:dyDescent="0.3">
      <c r="A96" s="34"/>
      <c r="C96" s="13"/>
      <c r="I96"/>
      <c r="J96" s="29"/>
      <c r="L96" s="71"/>
      <c r="M96" s="71"/>
      <c r="N96" s="71"/>
      <c r="O96" s="71"/>
      <c r="P96" s="71" t="str">
        <f>IFERROR(INDEX(RECICLADORES!C:C,MATCH(D96,RECICLADORES!B:B,0)),"")</f>
        <v/>
      </c>
      <c r="Q96" s="71" t="str">
        <f>IFERROR(INDEX(RECICLADORES!O:O,MATCH(D96,RECICLADORES!B:B,0)),"")</f>
        <v/>
      </c>
      <c r="R96" s="65"/>
      <c r="S96" s="65"/>
      <c r="T96" s="71"/>
      <c r="U96" s="71"/>
      <c r="V96" s="86"/>
    </row>
    <row r="97" spans="1:22" ht="18" customHeight="1" thickTop="1" thickBot="1" x14ac:dyDescent="0.3">
      <c r="A97" s="35"/>
      <c r="C97" s="13"/>
      <c r="I97"/>
      <c r="J97" s="29"/>
      <c r="L97" s="71"/>
      <c r="M97" s="71"/>
      <c r="N97" s="71"/>
      <c r="O97" s="71"/>
      <c r="P97" s="71" t="str">
        <f>IFERROR(INDEX(RECICLADORES!C:C,MATCH(D97,RECICLADORES!B:B,0)),"")</f>
        <v/>
      </c>
      <c r="Q97" s="71" t="str">
        <f>IFERROR(INDEX(RECICLADORES!O:O,MATCH(D97,RECICLADORES!B:B,0)),"")</f>
        <v/>
      </c>
      <c r="R97" s="65"/>
      <c r="S97" s="65"/>
      <c r="T97" s="71"/>
      <c r="U97" s="71"/>
      <c r="V97" s="86"/>
    </row>
    <row r="98" spans="1:22" ht="18" customHeight="1" thickTop="1" thickBot="1" x14ac:dyDescent="0.3">
      <c r="A98" s="34"/>
      <c r="C98" s="13"/>
      <c r="I98"/>
      <c r="J98" s="29"/>
      <c r="L98" s="71"/>
      <c r="M98" s="71"/>
      <c r="N98" s="71"/>
      <c r="O98" s="71"/>
      <c r="P98" s="71" t="str">
        <f>IFERROR(INDEX(RECICLADORES!C:C,MATCH(D98,RECICLADORES!B:B,0)),"")</f>
        <v/>
      </c>
      <c r="Q98" s="71" t="str">
        <f>IFERROR(INDEX(RECICLADORES!O:O,MATCH(D98,RECICLADORES!B:B,0)),"")</f>
        <v/>
      </c>
      <c r="R98" s="65"/>
      <c r="S98" s="65"/>
      <c r="T98" s="71"/>
      <c r="U98" s="71"/>
      <c r="V98" s="86"/>
    </row>
    <row r="99" spans="1:22" ht="18" customHeight="1" thickTop="1" thickBot="1" x14ac:dyDescent="0.3">
      <c r="A99" s="35"/>
      <c r="C99" s="13"/>
      <c r="I99"/>
      <c r="J99" s="29"/>
      <c r="L99" s="71"/>
      <c r="M99" s="71"/>
      <c r="N99" s="71"/>
      <c r="O99" s="71"/>
      <c r="P99" s="71" t="str">
        <f>IFERROR(INDEX(RECICLADORES!C:C,MATCH(D99,RECICLADORES!B:B,0)),"")</f>
        <v/>
      </c>
      <c r="Q99" s="71" t="str">
        <f>IFERROR(INDEX(RECICLADORES!O:O,MATCH(D99,RECICLADORES!B:B,0)),"")</f>
        <v/>
      </c>
      <c r="R99" s="65"/>
      <c r="S99" s="65"/>
      <c r="T99" s="71"/>
      <c r="U99" s="71"/>
      <c r="V99" s="86"/>
    </row>
    <row r="100" spans="1:22" ht="18" customHeight="1" thickTop="1" thickBot="1" x14ac:dyDescent="0.3">
      <c r="A100" s="34"/>
      <c r="C100" s="13"/>
      <c r="I100"/>
      <c r="J100" s="29"/>
      <c r="L100" s="71"/>
      <c r="M100" s="71"/>
      <c r="N100" s="71"/>
      <c r="O100" s="71"/>
      <c r="P100" s="71" t="str">
        <f>IFERROR(INDEX(RECICLADORES!C:C,MATCH(D100,RECICLADORES!B:B,0)),"")</f>
        <v/>
      </c>
      <c r="Q100" s="71" t="str">
        <f>IFERROR(INDEX(RECICLADORES!O:O,MATCH(D100,RECICLADORES!B:B,0)),"")</f>
        <v/>
      </c>
      <c r="R100" s="65"/>
      <c r="S100" s="65"/>
      <c r="T100" s="71"/>
      <c r="U100" s="71"/>
      <c r="V100" s="86"/>
    </row>
    <row r="101" spans="1:22" ht="18" customHeight="1" thickTop="1" thickBot="1" x14ac:dyDescent="0.3">
      <c r="A101" s="35"/>
      <c r="C101" s="13"/>
      <c r="I101"/>
      <c r="J101" s="29"/>
      <c r="L101" s="71"/>
      <c r="M101" s="71"/>
      <c r="N101" s="71"/>
      <c r="O101" s="71"/>
      <c r="P101" s="71" t="str">
        <f>IFERROR(INDEX(RECICLADORES!C:C,MATCH(D101,RECICLADORES!B:B,0)),"")</f>
        <v/>
      </c>
      <c r="Q101" s="71" t="str">
        <f>IFERROR(INDEX(RECICLADORES!O:O,MATCH(D101,RECICLADORES!B:B,0)),"")</f>
        <v/>
      </c>
      <c r="R101" s="65"/>
      <c r="S101" s="65"/>
      <c r="T101" s="71"/>
      <c r="U101" s="71"/>
      <c r="V101" s="86"/>
    </row>
    <row r="102" spans="1:22" ht="18" customHeight="1" thickTop="1" thickBot="1" x14ac:dyDescent="0.3">
      <c r="A102" s="34"/>
      <c r="C102" s="13"/>
      <c r="I102"/>
      <c r="J102" s="29"/>
      <c r="L102" s="71"/>
      <c r="M102" s="71"/>
      <c r="N102" s="71"/>
      <c r="O102" s="71"/>
      <c r="P102" s="71" t="str">
        <f>IFERROR(INDEX(RECICLADORES!C:C,MATCH(D102,RECICLADORES!B:B,0)),"")</f>
        <v/>
      </c>
      <c r="Q102" s="71" t="str">
        <f>IFERROR(INDEX(RECICLADORES!O:O,MATCH(D102,RECICLADORES!B:B,0)),"")</f>
        <v/>
      </c>
      <c r="R102" s="65"/>
      <c r="S102" s="65"/>
      <c r="T102" s="71"/>
      <c r="U102" s="71"/>
      <c r="V102" s="86"/>
    </row>
    <row r="103" spans="1:22" ht="18" customHeight="1" thickTop="1" thickBot="1" x14ac:dyDescent="0.3">
      <c r="A103" s="35"/>
      <c r="C103" s="13"/>
      <c r="I103"/>
      <c r="J103" s="29"/>
      <c r="L103" s="71"/>
      <c r="M103" s="71"/>
      <c r="N103" s="71"/>
      <c r="O103" s="71"/>
      <c r="P103" s="71" t="str">
        <f>IFERROR(INDEX(RECICLADORES!C:C,MATCH(D103,RECICLADORES!B:B,0)),"")</f>
        <v/>
      </c>
      <c r="Q103" s="71" t="str">
        <f>IFERROR(INDEX(RECICLADORES!O:O,MATCH(D103,RECICLADORES!B:B,0)),"")</f>
        <v/>
      </c>
      <c r="R103" s="65"/>
      <c r="S103" s="65"/>
      <c r="T103" s="71"/>
      <c r="U103" s="71"/>
      <c r="V103" s="86"/>
    </row>
    <row r="104" spans="1:22" ht="18" customHeight="1" thickTop="1" thickBot="1" x14ac:dyDescent="0.3">
      <c r="A104" s="34"/>
      <c r="C104" s="13"/>
      <c r="I104"/>
      <c r="J104" s="29"/>
      <c r="L104" s="71"/>
      <c r="M104" s="71"/>
      <c r="N104" s="71"/>
      <c r="O104" s="71"/>
      <c r="P104" s="71" t="str">
        <f>IFERROR(INDEX(RECICLADORES!C:C,MATCH(D104,RECICLADORES!B:B,0)),"")</f>
        <v/>
      </c>
      <c r="Q104" s="71" t="str">
        <f>IFERROR(INDEX(RECICLADORES!O:O,MATCH(D104,RECICLADORES!B:B,0)),"")</f>
        <v/>
      </c>
      <c r="R104" s="65"/>
      <c r="S104" s="65"/>
      <c r="T104" s="71"/>
      <c r="U104" s="71"/>
      <c r="V104" s="86"/>
    </row>
    <row r="105" spans="1:22" ht="18" customHeight="1" thickTop="1" thickBot="1" x14ac:dyDescent="0.3">
      <c r="A105" s="35"/>
      <c r="C105" s="13"/>
      <c r="I105"/>
      <c r="J105" s="29"/>
      <c r="L105" s="71"/>
      <c r="M105" s="71"/>
      <c r="N105" s="71"/>
      <c r="O105" s="71"/>
      <c r="P105" s="71" t="str">
        <f>IFERROR(INDEX(RECICLADORES!C:C,MATCH(D105,RECICLADORES!B:B,0)),"")</f>
        <v/>
      </c>
      <c r="Q105" s="71" t="str">
        <f>IFERROR(INDEX(RECICLADORES!O:O,MATCH(D105,RECICLADORES!B:B,0)),"")</f>
        <v/>
      </c>
      <c r="R105" s="65"/>
      <c r="S105" s="65"/>
      <c r="T105" s="71"/>
      <c r="U105" s="71"/>
      <c r="V105" s="86"/>
    </row>
    <row r="106" spans="1:22" ht="18" customHeight="1" thickTop="1" thickBot="1" x14ac:dyDescent="0.3">
      <c r="A106" s="35"/>
      <c r="C106" s="13"/>
      <c r="I106"/>
      <c r="J106" s="29"/>
      <c r="L106" s="71"/>
      <c r="M106" s="71"/>
      <c r="N106" s="71"/>
      <c r="O106" s="71"/>
      <c r="P106" s="71" t="str">
        <f>IFERROR(INDEX(RECICLADORES!C:C,MATCH(D106,RECICLADORES!B:B,0)),"")</f>
        <v/>
      </c>
      <c r="Q106" s="71" t="str">
        <f>IFERROR(INDEX(RECICLADORES!O:O,MATCH(D106,RECICLADORES!B:B,0)),"")</f>
        <v/>
      </c>
      <c r="R106" s="65"/>
      <c r="S106" s="65"/>
      <c r="T106" s="71"/>
      <c r="U106" s="71"/>
      <c r="V106" s="86"/>
    </row>
    <row r="107" spans="1:22" ht="18" customHeight="1" thickTop="1" thickBot="1" x14ac:dyDescent="0.3">
      <c r="A107" s="34"/>
      <c r="C107" s="13"/>
      <c r="I107"/>
      <c r="J107" s="29" t="str">
        <f t="shared" ref="J107:J170" si="0">IF(C107="","",INT((DAY(C107)-1)/7)+1)</f>
        <v/>
      </c>
      <c r="L107" s="71"/>
      <c r="M107" s="71"/>
      <c r="N107" s="71"/>
      <c r="O107" s="71"/>
      <c r="P107" s="71" t="str">
        <f>IFERROR(INDEX(RECICLADORES!C:C,MATCH(D107,RECICLADORES!B:B,0)),"")</f>
        <v/>
      </c>
      <c r="Q107" s="71" t="str">
        <f>IFERROR(INDEX(RECICLADORES!O:O,MATCH(D107,RECICLADORES!B:B,0)),"")</f>
        <v/>
      </c>
      <c r="R107" s="65"/>
      <c r="S107" s="65"/>
      <c r="T107" s="71"/>
      <c r="U107" s="71"/>
      <c r="V107" s="86"/>
    </row>
    <row r="108" spans="1:22" ht="18" customHeight="1" thickTop="1" thickBot="1" x14ac:dyDescent="0.3">
      <c r="A108" s="35"/>
      <c r="C108" s="13"/>
      <c r="I108"/>
      <c r="J108" s="29" t="str">
        <f t="shared" si="0"/>
        <v/>
      </c>
      <c r="L108" s="71"/>
      <c r="M108" s="71"/>
      <c r="N108" s="71"/>
      <c r="O108" s="71"/>
      <c r="P108" s="71" t="str">
        <f>IFERROR(INDEX(RECICLADORES!C:C,MATCH(D108,RECICLADORES!B:B,0)),"")</f>
        <v/>
      </c>
      <c r="Q108" s="71" t="str">
        <f>IFERROR(INDEX(RECICLADORES!O:O,MATCH(D108,RECICLADORES!B:B,0)),"")</f>
        <v/>
      </c>
      <c r="R108" s="65"/>
      <c r="S108" s="65"/>
      <c r="T108" s="71"/>
      <c r="U108" s="71"/>
      <c r="V108" s="86"/>
    </row>
    <row r="109" spans="1:22" ht="18" customHeight="1" thickTop="1" thickBot="1" x14ac:dyDescent="0.3">
      <c r="A109" s="34"/>
      <c r="C109" s="13"/>
      <c r="I109"/>
      <c r="J109" s="29" t="str">
        <f t="shared" si="0"/>
        <v/>
      </c>
      <c r="L109" s="71"/>
      <c r="M109" s="71"/>
      <c r="N109" s="71"/>
      <c r="O109" s="71"/>
      <c r="P109" s="71" t="str">
        <f>IFERROR(INDEX(RECICLADORES!C:C,MATCH(D109,RECICLADORES!B:B,0)),"")</f>
        <v/>
      </c>
      <c r="Q109" s="71" t="str">
        <f>IFERROR(INDEX(RECICLADORES!O:O,MATCH(D109,RECICLADORES!B:B,0)),"")</f>
        <v/>
      </c>
      <c r="R109" s="65"/>
      <c r="S109" s="65"/>
      <c r="T109" s="71"/>
      <c r="U109" s="71"/>
      <c r="V109" s="86"/>
    </row>
    <row r="110" spans="1:22" ht="18" customHeight="1" thickTop="1" thickBot="1" x14ac:dyDescent="0.3">
      <c r="A110" s="35"/>
      <c r="C110" s="13"/>
      <c r="I110"/>
      <c r="J110" s="29" t="str">
        <f t="shared" si="0"/>
        <v/>
      </c>
      <c r="L110" s="71"/>
      <c r="M110" s="71"/>
      <c r="N110" s="71"/>
      <c r="O110" s="71"/>
      <c r="P110" s="71" t="str">
        <f>IFERROR(INDEX(RECICLADORES!C:C,MATCH(D110,RECICLADORES!B:B,0)),"")</f>
        <v/>
      </c>
      <c r="Q110" s="71" t="str">
        <f>IFERROR(INDEX(RECICLADORES!O:O,MATCH(D110,RECICLADORES!B:B,0)),"")</f>
        <v/>
      </c>
      <c r="R110" s="65"/>
      <c r="S110" s="65"/>
      <c r="T110" s="71"/>
      <c r="U110" s="71"/>
      <c r="V110" s="86"/>
    </row>
    <row r="111" spans="1:22" ht="18" customHeight="1" thickTop="1" thickBot="1" x14ac:dyDescent="0.3">
      <c r="A111" s="34"/>
      <c r="C111" s="13"/>
      <c r="I111"/>
      <c r="J111" s="29" t="str">
        <f t="shared" si="0"/>
        <v/>
      </c>
      <c r="L111" s="71"/>
      <c r="M111" s="71"/>
      <c r="N111" s="71"/>
      <c r="O111" s="71"/>
      <c r="P111" s="71" t="str">
        <f>IFERROR(INDEX(RECICLADORES!C:C,MATCH(D111,RECICLADORES!B:B,0)),"")</f>
        <v/>
      </c>
      <c r="Q111" s="71" t="str">
        <f>IFERROR(INDEX(RECICLADORES!O:O,MATCH(D111,RECICLADORES!B:B,0)),"")</f>
        <v/>
      </c>
      <c r="R111" s="65"/>
      <c r="S111" s="65"/>
      <c r="T111" s="71"/>
      <c r="U111" s="71"/>
      <c r="V111" s="86"/>
    </row>
    <row r="112" spans="1:22" ht="18" customHeight="1" thickTop="1" thickBot="1" x14ac:dyDescent="0.3">
      <c r="A112" s="35"/>
      <c r="C112" s="13"/>
      <c r="I112" s="23"/>
      <c r="J112" s="29" t="str">
        <f t="shared" si="0"/>
        <v/>
      </c>
      <c r="L112" s="71"/>
      <c r="M112" s="71"/>
      <c r="N112" s="71"/>
      <c r="O112" s="71"/>
      <c r="P112" s="71" t="str">
        <f>IFERROR(INDEX(RECICLADORES!C:C,MATCH(D112,RECICLADORES!B:B,0)),"")</f>
        <v/>
      </c>
      <c r="Q112" s="71" t="str">
        <f>IFERROR(INDEX(RECICLADORES!O:O,MATCH(D112,RECICLADORES!B:B,0)),"")</f>
        <v/>
      </c>
      <c r="R112" s="65"/>
      <c r="S112" s="65"/>
      <c r="T112" s="71"/>
      <c r="U112" s="71"/>
      <c r="V112" s="86"/>
    </row>
    <row r="113" spans="1:22" ht="18" customHeight="1" thickTop="1" thickBot="1" x14ac:dyDescent="0.3">
      <c r="A113" s="34"/>
      <c r="C113" s="13"/>
      <c r="I113" s="23"/>
      <c r="J113" s="29" t="str">
        <f t="shared" si="0"/>
        <v/>
      </c>
      <c r="L113" s="71"/>
      <c r="M113" s="71"/>
      <c r="N113" s="71"/>
      <c r="O113" s="71"/>
      <c r="P113" s="71" t="str">
        <f>IFERROR(INDEX(RECICLADORES!C:C,MATCH(D113,RECICLADORES!B:B,0)),"")</f>
        <v/>
      </c>
      <c r="Q113" s="71" t="str">
        <f>IFERROR(INDEX(RECICLADORES!O:O,MATCH(D113,RECICLADORES!B:B,0)),"")</f>
        <v/>
      </c>
      <c r="R113" s="65"/>
      <c r="S113" s="65"/>
      <c r="T113" s="71"/>
      <c r="U113" s="71"/>
      <c r="V113" s="86"/>
    </row>
    <row r="114" spans="1:22" ht="18" customHeight="1" thickTop="1" thickBot="1" x14ac:dyDescent="0.3">
      <c r="A114" s="35"/>
      <c r="C114" s="13"/>
      <c r="I114" s="23"/>
      <c r="J114" s="29" t="str">
        <f t="shared" si="0"/>
        <v/>
      </c>
      <c r="L114" s="71"/>
      <c r="M114" s="71"/>
      <c r="N114" s="71"/>
      <c r="O114" s="71"/>
      <c r="P114" s="71" t="str">
        <f>IFERROR(INDEX(RECICLADORES!C:C,MATCH(D114,RECICLADORES!B:B,0)),"")</f>
        <v/>
      </c>
      <c r="Q114" s="71" t="str">
        <f>IFERROR(INDEX(RECICLADORES!O:O,MATCH(D114,RECICLADORES!B:B,0)),"")</f>
        <v/>
      </c>
      <c r="R114" s="65"/>
      <c r="S114" s="65"/>
      <c r="T114" s="71"/>
      <c r="U114" s="71"/>
      <c r="V114" s="86"/>
    </row>
    <row r="115" spans="1:22" ht="18" customHeight="1" thickTop="1" thickBot="1" x14ac:dyDescent="0.3">
      <c r="A115" s="34"/>
      <c r="C115" s="13"/>
      <c r="I115" s="23"/>
      <c r="J115" s="29" t="str">
        <f t="shared" si="0"/>
        <v/>
      </c>
      <c r="L115" s="71"/>
      <c r="M115" s="71"/>
      <c r="N115" s="71"/>
      <c r="O115" s="71"/>
      <c r="P115" s="71" t="str">
        <f>IFERROR(INDEX(RECICLADORES!C:C,MATCH(D115,RECICLADORES!B:B,0)),"")</f>
        <v/>
      </c>
      <c r="Q115" s="71" t="str">
        <f>IFERROR(INDEX(RECICLADORES!O:O,MATCH(D115,RECICLADORES!B:B,0)),"")</f>
        <v/>
      </c>
      <c r="R115" s="65"/>
      <c r="S115" s="65"/>
      <c r="T115" s="71"/>
      <c r="U115" s="71"/>
      <c r="V115" s="86"/>
    </row>
    <row r="116" spans="1:22" ht="18" customHeight="1" thickTop="1" thickBot="1" x14ac:dyDescent="0.3">
      <c r="A116" s="35"/>
      <c r="C116" s="13"/>
      <c r="I116" s="23"/>
      <c r="J116" s="29" t="str">
        <f t="shared" si="0"/>
        <v/>
      </c>
      <c r="L116" s="71"/>
      <c r="M116" s="71"/>
      <c r="N116" s="71"/>
      <c r="O116" s="71"/>
      <c r="P116" s="71" t="str">
        <f>IFERROR(INDEX(RECICLADORES!C:C,MATCH(D116,RECICLADORES!B:B,0)),"")</f>
        <v/>
      </c>
      <c r="Q116" s="71" t="str">
        <f>IFERROR(INDEX(RECICLADORES!O:O,MATCH(D116,RECICLADORES!B:B,0)),"")</f>
        <v/>
      </c>
      <c r="R116" s="65"/>
      <c r="S116" s="65"/>
      <c r="T116" s="71"/>
      <c r="U116" s="71"/>
      <c r="V116" s="86"/>
    </row>
    <row r="117" spans="1:22" ht="18" customHeight="1" thickTop="1" thickBot="1" x14ac:dyDescent="0.3">
      <c r="A117" s="34"/>
      <c r="C117" s="13"/>
      <c r="I117" s="23"/>
      <c r="J117" s="29" t="str">
        <f t="shared" si="0"/>
        <v/>
      </c>
      <c r="L117" s="71"/>
      <c r="M117" s="71"/>
      <c r="N117" s="71"/>
      <c r="O117" s="71"/>
      <c r="P117" s="71" t="str">
        <f>IFERROR(INDEX(RECICLADORES!C:C,MATCH(D117,RECICLADORES!B:B,0)),"")</f>
        <v/>
      </c>
      <c r="Q117" s="71" t="str">
        <f>IFERROR(INDEX(RECICLADORES!O:O,MATCH(D117,RECICLADORES!B:B,0)),"")</f>
        <v/>
      </c>
      <c r="R117" s="65"/>
      <c r="S117" s="65"/>
      <c r="T117" s="71"/>
      <c r="U117" s="71"/>
      <c r="V117" s="86"/>
    </row>
    <row r="118" spans="1:22" ht="18" customHeight="1" thickTop="1" thickBot="1" x14ac:dyDescent="0.3">
      <c r="A118" s="35"/>
      <c r="C118" s="13"/>
      <c r="I118" s="23"/>
      <c r="J118" s="29" t="str">
        <f t="shared" si="0"/>
        <v/>
      </c>
      <c r="L118" s="71"/>
      <c r="M118" s="71"/>
      <c r="N118" s="71"/>
      <c r="O118" s="71"/>
      <c r="P118" s="71" t="str">
        <f>IFERROR(INDEX(RECICLADORES!C:C,MATCH(D118,RECICLADORES!B:B,0)),"")</f>
        <v/>
      </c>
      <c r="Q118" s="71" t="str">
        <f>IFERROR(INDEX(RECICLADORES!O:O,MATCH(D118,RECICLADORES!B:B,0)),"")</f>
        <v/>
      </c>
      <c r="R118" s="65"/>
      <c r="S118" s="65"/>
      <c r="T118" s="71"/>
      <c r="U118" s="71"/>
      <c r="V118" s="86"/>
    </row>
    <row r="119" spans="1:22" ht="18" customHeight="1" thickTop="1" thickBot="1" x14ac:dyDescent="0.3">
      <c r="A119" s="34"/>
      <c r="C119" s="13"/>
      <c r="I119" s="23"/>
      <c r="J119" s="29" t="str">
        <f t="shared" si="0"/>
        <v/>
      </c>
      <c r="L119" s="71"/>
      <c r="M119" s="71"/>
      <c r="N119" s="71"/>
      <c r="O119" s="71"/>
      <c r="P119" s="71" t="str">
        <f>IFERROR(INDEX(RECICLADORES!C:C,MATCH(D119,RECICLADORES!B:B,0)),"")</f>
        <v/>
      </c>
      <c r="Q119" s="71" t="str">
        <f>IFERROR(INDEX(RECICLADORES!O:O,MATCH(D119,RECICLADORES!B:B,0)),"")</f>
        <v/>
      </c>
      <c r="R119" s="65"/>
      <c r="S119" s="65"/>
      <c r="T119" s="71"/>
      <c r="U119" s="71"/>
      <c r="V119" s="86"/>
    </row>
    <row r="120" spans="1:22" ht="18" customHeight="1" thickTop="1" thickBot="1" x14ac:dyDescent="0.3">
      <c r="A120" s="35"/>
      <c r="C120" s="13"/>
      <c r="I120" s="23"/>
      <c r="J120" s="29" t="str">
        <f t="shared" si="0"/>
        <v/>
      </c>
      <c r="L120" s="71"/>
      <c r="M120" s="71"/>
      <c r="N120" s="71"/>
      <c r="O120" s="71"/>
      <c r="P120" s="71" t="str">
        <f>IFERROR(INDEX(RECICLADORES!C:C,MATCH(D120,RECICLADORES!B:B,0)),"")</f>
        <v/>
      </c>
      <c r="Q120" s="71" t="str">
        <f>IFERROR(INDEX(RECICLADORES!O:O,MATCH(D120,RECICLADORES!B:B,0)),"")</f>
        <v/>
      </c>
      <c r="R120" s="65"/>
      <c r="S120" s="65"/>
      <c r="T120" s="71"/>
      <c r="U120" s="71"/>
      <c r="V120" s="86"/>
    </row>
    <row r="121" spans="1:22" ht="18" customHeight="1" thickTop="1" thickBot="1" x14ac:dyDescent="0.3">
      <c r="A121" s="34"/>
      <c r="C121" s="13"/>
      <c r="I121" s="23"/>
      <c r="J121" s="29" t="str">
        <f t="shared" si="0"/>
        <v/>
      </c>
      <c r="L121" s="71"/>
      <c r="M121" s="71"/>
      <c r="N121" s="71"/>
      <c r="O121" s="71"/>
      <c r="P121" s="71" t="str">
        <f>IFERROR(INDEX(RECICLADORES!C:C,MATCH(D121,RECICLADORES!B:B,0)),"")</f>
        <v/>
      </c>
      <c r="Q121" s="71" t="str">
        <f>IFERROR(INDEX(RECICLADORES!O:O,MATCH(D121,RECICLADORES!B:B,0)),"")</f>
        <v/>
      </c>
      <c r="R121" s="65"/>
      <c r="S121" s="65"/>
      <c r="T121" s="71"/>
      <c r="U121" s="71"/>
      <c r="V121" s="86"/>
    </row>
    <row r="122" spans="1:22" ht="18" customHeight="1" thickTop="1" thickBot="1" x14ac:dyDescent="0.3">
      <c r="A122" s="35"/>
      <c r="C122" s="13"/>
      <c r="I122" s="23"/>
      <c r="J122" s="29" t="str">
        <f t="shared" si="0"/>
        <v/>
      </c>
      <c r="L122" s="71"/>
      <c r="M122" s="71"/>
      <c r="N122" s="71"/>
      <c r="O122" s="71"/>
      <c r="P122" s="71" t="str">
        <f>IFERROR(INDEX(RECICLADORES!C:C,MATCH(D122,RECICLADORES!B:B,0)),"")</f>
        <v/>
      </c>
      <c r="Q122" s="71" t="str">
        <f>IFERROR(INDEX(RECICLADORES!O:O,MATCH(D122,RECICLADORES!B:B,0)),"")</f>
        <v/>
      </c>
      <c r="R122" s="65"/>
      <c r="S122" s="65"/>
      <c r="T122" s="71"/>
      <c r="U122" s="71"/>
      <c r="V122" s="86"/>
    </row>
    <row r="123" spans="1:22" ht="18" customHeight="1" thickTop="1" thickBot="1" x14ac:dyDescent="0.3">
      <c r="A123" s="34"/>
      <c r="C123" s="13"/>
      <c r="I123" s="23"/>
      <c r="J123" s="29" t="str">
        <f t="shared" si="0"/>
        <v/>
      </c>
      <c r="L123" s="71"/>
      <c r="M123" s="71"/>
      <c r="N123" s="71"/>
      <c r="O123" s="71"/>
      <c r="P123" s="71" t="str">
        <f>IFERROR(INDEX(RECICLADORES!C:C,MATCH(D123,RECICLADORES!B:B,0)),"")</f>
        <v/>
      </c>
      <c r="Q123" s="71" t="str">
        <f>IFERROR(INDEX(RECICLADORES!O:O,MATCH(D123,RECICLADORES!B:B,0)),"")</f>
        <v/>
      </c>
      <c r="R123" s="65"/>
      <c r="S123" s="65"/>
      <c r="T123" s="71"/>
      <c r="U123" s="71"/>
      <c r="V123" s="86"/>
    </row>
    <row r="124" spans="1:22" ht="18" customHeight="1" thickTop="1" thickBot="1" x14ac:dyDescent="0.3">
      <c r="A124" s="35"/>
      <c r="C124" s="13"/>
      <c r="I124" s="23"/>
      <c r="J124" s="29" t="str">
        <f t="shared" si="0"/>
        <v/>
      </c>
      <c r="L124" s="71"/>
      <c r="M124" s="71"/>
      <c r="N124" s="71"/>
      <c r="O124" s="71"/>
      <c r="P124" s="71" t="str">
        <f>IFERROR(INDEX(RECICLADORES!C:C,MATCH(D124,RECICLADORES!B:B,0)),"")</f>
        <v/>
      </c>
      <c r="Q124" s="71" t="str">
        <f>IFERROR(INDEX(RECICLADORES!O:O,MATCH(D124,RECICLADORES!B:B,0)),"")</f>
        <v/>
      </c>
      <c r="R124" s="65"/>
      <c r="S124" s="65"/>
      <c r="T124" s="71"/>
      <c r="U124" s="71"/>
      <c r="V124" s="86"/>
    </row>
    <row r="125" spans="1:22" ht="18" customHeight="1" thickTop="1" thickBot="1" x14ac:dyDescent="0.3">
      <c r="A125" s="34"/>
      <c r="C125" s="13"/>
      <c r="I125" s="23"/>
      <c r="J125" s="29" t="str">
        <f t="shared" si="0"/>
        <v/>
      </c>
      <c r="L125" s="71"/>
      <c r="M125" s="71"/>
      <c r="N125" s="71"/>
      <c r="O125" s="71"/>
      <c r="P125" s="71" t="str">
        <f>IFERROR(INDEX(RECICLADORES!C:C,MATCH(D125,RECICLADORES!B:B,0)),"")</f>
        <v/>
      </c>
      <c r="Q125" s="71" t="str">
        <f>IFERROR(INDEX(RECICLADORES!O:O,MATCH(D125,RECICLADORES!B:B,0)),"")</f>
        <v/>
      </c>
      <c r="R125" s="65"/>
      <c r="S125" s="65"/>
      <c r="T125" s="71"/>
      <c r="U125" s="71"/>
      <c r="V125" s="86"/>
    </row>
    <row r="126" spans="1:22" ht="18" customHeight="1" thickTop="1" thickBot="1" x14ac:dyDescent="0.3">
      <c r="A126" s="35"/>
      <c r="C126" s="13"/>
      <c r="I126" s="23"/>
      <c r="J126" s="29" t="str">
        <f t="shared" si="0"/>
        <v/>
      </c>
      <c r="L126" s="71"/>
      <c r="M126" s="71"/>
      <c r="N126" s="71"/>
      <c r="O126" s="71"/>
      <c r="P126" s="71" t="str">
        <f>IFERROR(INDEX(RECICLADORES!C:C,MATCH(D126,RECICLADORES!B:B,0)),"")</f>
        <v/>
      </c>
      <c r="Q126" s="71" t="str">
        <f>IFERROR(INDEX(RECICLADORES!O:O,MATCH(D126,RECICLADORES!B:B,0)),"")</f>
        <v/>
      </c>
      <c r="R126" s="65"/>
      <c r="S126" s="65"/>
      <c r="T126" s="71"/>
      <c r="U126" s="71"/>
      <c r="V126" s="86"/>
    </row>
    <row r="127" spans="1:22" ht="18" customHeight="1" thickTop="1" thickBot="1" x14ac:dyDescent="0.3">
      <c r="A127" s="34"/>
      <c r="C127" s="13"/>
      <c r="I127" s="23"/>
      <c r="J127" s="29" t="str">
        <f t="shared" si="0"/>
        <v/>
      </c>
      <c r="L127" s="71"/>
      <c r="M127" s="71"/>
      <c r="N127" s="71"/>
      <c r="O127" s="71"/>
      <c r="P127" s="71" t="str">
        <f>IFERROR(INDEX(RECICLADORES!C:C,MATCH(D127,RECICLADORES!B:B,0)),"")</f>
        <v/>
      </c>
      <c r="Q127" s="71" t="str">
        <f>IFERROR(INDEX(RECICLADORES!O:O,MATCH(D127,RECICLADORES!B:B,0)),"")</f>
        <v/>
      </c>
      <c r="R127" s="65"/>
      <c r="S127" s="65"/>
      <c r="T127" s="71"/>
      <c r="U127" s="71"/>
      <c r="V127" s="86"/>
    </row>
    <row r="128" spans="1:22" ht="18" customHeight="1" thickTop="1" thickBot="1" x14ac:dyDescent="0.3">
      <c r="A128" s="35"/>
      <c r="C128" s="13"/>
      <c r="I128" s="23"/>
      <c r="J128" s="29" t="str">
        <f t="shared" si="0"/>
        <v/>
      </c>
      <c r="L128" s="71"/>
      <c r="M128" s="71"/>
      <c r="N128" s="71"/>
      <c r="O128" s="71"/>
      <c r="P128" s="71" t="str">
        <f>IFERROR(INDEX(RECICLADORES!C:C,MATCH(D128,RECICLADORES!B:B,0)),"")</f>
        <v/>
      </c>
      <c r="Q128" s="71" t="str">
        <f>IFERROR(INDEX(RECICLADORES!O:O,MATCH(D128,RECICLADORES!B:B,0)),"")</f>
        <v/>
      </c>
      <c r="R128" s="65"/>
      <c r="S128" s="65"/>
      <c r="T128" s="71"/>
      <c r="U128" s="71"/>
      <c r="V128" s="86"/>
    </row>
    <row r="129" spans="1:22" ht="18" customHeight="1" thickTop="1" thickBot="1" x14ac:dyDescent="0.3">
      <c r="A129" s="34"/>
      <c r="C129" s="13"/>
      <c r="I129" s="23"/>
      <c r="J129" s="29" t="str">
        <f t="shared" si="0"/>
        <v/>
      </c>
      <c r="L129" s="71"/>
      <c r="M129" s="71"/>
      <c r="N129" s="71"/>
      <c r="O129" s="71"/>
      <c r="P129" s="71" t="str">
        <f>IFERROR(INDEX(RECICLADORES!C:C,MATCH(D129,RECICLADORES!B:B,0)),"")</f>
        <v/>
      </c>
      <c r="Q129" s="71" t="str">
        <f>IFERROR(INDEX(RECICLADORES!O:O,MATCH(D129,RECICLADORES!B:B,0)),"")</f>
        <v/>
      </c>
      <c r="R129" s="65"/>
      <c r="S129" s="65"/>
      <c r="T129" s="71"/>
      <c r="U129" s="71"/>
      <c r="V129" s="86"/>
    </row>
    <row r="130" spans="1:22" ht="18" customHeight="1" thickTop="1" thickBot="1" x14ac:dyDescent="0.3">
      <c r="A130" s="35"/>
      <c r="C130" s="13"/>
      <c r="I130" s="23"/>
      <c r="J130" s="29" t="str">
        <f t="shared" si="0"/>
        <v/>
      </c>
      <c r="L130" s="71"/>
      <c r="M130" s="71"/>
      <c r="N130" s="71"/>
      <c r="O130" s="71"/>
      <c r="P130" s="71" t="str">
        <f>IFERROR(INDEX(RECICLADORES!C:C,MATCH(D130,RECICLADORES!B:B,0)),"")</f>
        <v/>
      </c>
      <c r="Q130" s="71" t="str">
        <f>IFERROR(INDEX(RECICLADORES!O:O,MATCH(D130,RECICLADORES!B:B,0)),"")</f>
        <v/>
      </c>
      <c r="R130" s="65"/>
      <c r="S130" s="65"/>
      <c r="T130" s="71"/>
      <c r="U130" s="71"/>
      <c r="V130" s="86"/>
    </row>
    <row r="131" spans="1:22" ht="18" customHeight="1" thickTop="1" thickBot="1" x14ac:dyDescent="0.3">
      <c r="A131" s="34"/>
      <c r="C131" s="13"/>
      <c r="I131" s="23"/>
      <c r="J131" s="29" t="str">
        <f t="shared" si="0"/>
        <v/>
      </c>
      <c r="L131" s="71"/>
      <c r="M131" s="71"/>
      <c r="N131" s="71"/>
      <c r="O131" s="71"/>
      <c r="P131" s="71" t="str">
        <f>IFERROR(INDEX(RECICLADORES!C:C,MATCH(D131,RECICLADORES!B:B,0)),"")</f>
        <v/>
      </c>
      <c r="Q131" s="71" t="str">
        <f>IFERROR(INDEX(RECICLADORES!O:O,MATCH(D131,RECICLADORES!B:B,0)),"")</f>
        <v/>
      </c>
      <c r="R131" s="65"/>
      <c r="S131" s="65"/>
      <c r="T131" s="71"/>
      <c r="U131" s="71"/>
      <c r="V131" s="86"/>
    </row>
    <row r="132" spans="1:22" ht="18" customHeight="1" thickTop="1" thickBot="1" x14ac:dyDescent="0.3">
      <c r="A132" s="35"/>
      <c r="C132" s="13"/>
      <c r="I132" s="23"/>
      <c r="J132" s="29" t="str">
        <f t="shared" si="0"/>
        <v/>
      </c>
      <c r="L132" s="71"/>
      <c r="M132" s="71"/>
      <c r="N132" s="71"/>
      <c r="O132" s="71"/>
      <c r="P132" s="71" t="str">
        <f>IFERROR(INDEX(RECICLADORES!C:C,MATCH(D132,RECICLADORES!B:B,0)),"")</f>
        <v/>
      </c>
      <c r="Q132" s="71" t="str">
        <f>IFERROR(INDEX(RECICLADORES!O:O,MATCH(D132,RECICLADORES!B:B,0)),"")</f>
        <v/>
      </c>
      <c r="R132" s="65"/>
      <c r="S132" s="65"/>
      <c r="T132" s="71"/>
      <c r="U132" s="71"/>
      <c r="V132" s="86"/>
    </row>
    <row r="133" spans="1:22" ht="18" customHeight="1" thickTop="1" thickBot="1" x14ac:dyDescent="0.3">
      <c r="A133" s="34"/>
      <c r="C133" s="13"/>
      <c r="I133" s="23"/>
      <c r="J133" s="29" t="str">
        <f t="shared" si="0"/>
        <v/>
      </c>
      <c r="L133" s="71"/>
      <c r="M133" s="71"/>
      <c r="N133" s="71"/>
      <c r="O133" s="71"/>
      <c r="P133" s="71" t="str">
        <f>IFERROR(INDEX(RECICLADORES!C:C,MATCH(D133,RECICLADORES!B:B,0)),"")</f>
        <v/>
      </c>
      <c r="Q133" s="71" t="str">
        <f>IFERROR(INDEX(RECICLADORES!O:O,MATCH(D133,RECICLADORES!B:B,0)),"")</f>
        <v/>
      </c>
      <c r="R133" s="65"/>
      <c r="S133" s="65"/>
      <c r="T133" s="71"/>
      <c r="U133" s="71"/>
      <c r="V133" s="86"/>
    </row>
    <row r="134" spans="1:22" ht="18" customHeight="1" thickTop="1" thickBot="1" x14ac:dyDescent="0.3">
      <c r="A134" s="35"/>
      <c r="C134" s="13"/>
      <c r="I134" s="23"/>
      <c r="J134" s="29" t="str">
        <f t="shared" si="0"/>
        <v/>
      </c>
      <c r="L134" s="71"/>
      <c r="M134" s="71"/>
      <c r="N134" s="71"/>
      <c r="O134" s="71"/>
      <c r="P134" s="71" t="str">
        <f>IFERROR(INDEX(RECICLADORES!C:C,MATCH(D134,RECICLADORES!B:B,0)),"")</f>
        <v/>
      </c>
      <c r="Q134" s="71" t="str">
        <f>IFERROR(INDEX(RECICLADORES!O:O,MATCH(D134,RECICLADORES!B:B,0)),"")</f>
        <v/>
      </c>
      <c r="R134" s="65"/>
      <c r="S134" s="65"/>
      <c r="T134" s="71"/>
      <c r="U134" s="71"/>
      <c r="V134" s="86"/>
    </row>
    <row r="135" spans="1:22" ht="18" customHeight="1" thickTop="1" thickBot="1" x14ac:dyDescent="0.3">
      <c r="A135" s="35"/>
      <c r="C135" s="13"/>
      <c r="I135" s="23"/>
      <c r="J135" s="29" t="str">
        <f t="shared" si="0"/>
        <v/>
      </c>
      <c r="L135" s="71"/>
      <c r="M135" s="71"/>
      <c r="N135" s="71"/>
      <c r="O135" s="71"/>
      <c r="P135" s="71" t="str">
        <f>IFERROR(INDEX(RECICLADORES!C:C,MATCH(D135,RECICLADORES!B:B,0)),"")</f>
        <v/>
      </c>
      <c r="Q135" s="71" t="str">
        <f>IFERROR(INDEX(RECICLADORES!O:O,MATCH(D135,RECICLADORES!B:B,0)),"")</f>
        <v/>
      </c>
      <c r="R135" s="65"/>
      <c r="S135" s="65"/>
      <c r="T135" s="71"/>
      <c r="U135" s="71"/>
      <c r="V135" s="86"/>
    </row>
    <row r="136" spans="1:22" ht="18" customHeight="1" thickTop="1" thickBot="1" x14ac:dyDescent="0.3">
      <c r="A136" s="34"/>
      <c r="C136" s="13"/>
      <c r="I136" s="23"/>
      <c r="J136" s="29" t="str">
        <f t="shared" si="0"/>
        <v/>
      </c>
      <c r="L136" s="71"/>
      <c r="M136" s="71"/>
      <c r="N136" s="71"/>
      <c r="O136" s="71"/>
      <c r="P136" s="71" t="str">
        <f>IFERROR(INDEX(RECICLADORES!C:C,MATCH(D136,RECICLADORES!B:B,0)),"")</f>
        <v/>
      </c>
      <c r="Q136" s="71" t="str">
        <f>IFERROR(INDEX(RECICLADORES!O:O,MATCH(D136,RECICLADORES!B:B,0)),"")</f>
        <v/>
      </c>
      <c r="R136" s="65"/>
      <c r="S136" s="65"/>
      <c r="T136" s="71"/>
      <c r="U136" s="71"/>
      <c r="V136" s="86"/>
    </row>
    <row r="137" spans="1:22" ht="18" customHeight="1" thickTop="1" thickBot="1" x14ac:dyDescent="0.3">
      <c r="A137" s="35"/>
      <c r="C137" s="13"/>
      <c r="I137"/>
      <c r="J137" s="29" t="str">
        <f t="shared" si="0"/>
        <v/>
      </c>
      <c r="L137" s="71"/>
      <c r="M137" s="71"/>
      <c r="N137" s="71"/>
      <c r="O137" s="71"/>
      <c r="P137" s="71" t="str">
        <f>IFERROR(INDEX(RECICLADORES!C:C,MATCH(D137,RECICLADORES!B:B,0)),"")</f>
        <v/>
      </c>
      <c r="Q137" s="71" t="str">
        <f>IFERROR(INDEX(RECICLADORES!O:O,MATCH(D137,RECICLADORES!B:B,0)),"")</f>
        <v/>
      </c>
      <c r="R137" s="65"/>
      <c r="S137" s="65"/>
      <c r="T137" s="71"/>
      <c r="U137" s="71"/>
      <c r="V137" s="86"/>
    </row>
    <row r="138" spans="1:22" ht="18" customHeight="1" thickTop="1" thickBot="1" x14ac:dyDescent="0.3">
      <c r="A138" s="34"/>
      <c r="C138" s="13"/>
      <c r="I138" s="23"/>
      <c r="J138" s="29" t="str">
        <f t="shared" si="0"/>
        <v/>
      </c>
      <c r="L138" s="71"/>
      <c r="M138" s="71"/>
      <c r="N138" s="71"/>
      <c r="O138" s="71"/>
      <c r="P138" s="71" t="str">
        <f>IFERROR(INDEX(RECICLADORES!C:C,MATCH(D138,RECICLADORES!B:B,0)),"")</f>
        <v/>
      </c>
      <c r="Q138" s="71" t="str">
        <f>IFERROR(INDEX(RECICLADORES!O:O,MATCH(D138,RECICLADORES!B:B,0)),"")</f>
        <v/>
      </c>
      <c r="R138" s="65"/>
      <c r="S138" s="65"/>
      <c r="T138" s="71"/>
      <c r="U138" s="71"/>
      <c r="V138" s="86"/>
    </row>
    <row r="139" spans="1:22" ht="18" customHeight="1" thickTop="1" thickBot="1" x14ac:dyDescent="0.3">
      <c r="A139" s="35"/>
      <c r="C139" s="13"/>
      <c r="I139" s="23"/>
      <c r="J139" s="29" t="str">
        <f t="shared" si="0"/>
        <v/>
      </c>
      <c r="L139" s="71"/>
      <c r="M139" s="71"/>
      <c r="N139" s="71"/>
      <c r="O139" s="71"/>
      <c r="P139" s="71" t="str">
        <f>IFERROR(INDEX(RECICLADORES!C:C,MATCH(D139,RECICLADORES!B:B,0)),"")</f>
        <v/>
      </c>
      <c r="Q139" s="71" t="str">
        <f>IFERROR(INDEX(RECICLADORES!O:O,MATCH(D139,RECICLADORES!B:B,0)),"")</f>
        <v/>
      </c>
      <c r="R139" s="65"/>
      <c r="S139" s="65"/>
      <c r="T139" s="71"/>
      <c r="U139" s="71"/>
      <c r="V139" s="86"/>
    </row>
    <row r="140" spans="1:22" ht="18" customHeight="1" thickTop="1" thickBot="1" x14ac:dyDescent="0.3">
      <c r="A140" s="34"/>
      <c r="C140" s="13"/>
      <c r="I140" s="23"/>
      <c r="J140" s="29" t="str">
        <f t="shared" si="0"/>
        <v/>
      </c>
      <c r="L140" s="71"/>
      <c r="M140" s="71"/>
      <c r="N140" s="71"/>
      <c r="O140" s="71"/>
      <c r="P140" s="71" t="str">
        <f>IFERROR(INDEX(RECICLADORES!C:C,MATCH(D140,RECICLADORES!B:B,0)),"")</f>
        <v/>
      </c>
      <c r="Q140" s="71" t="str">
        <f>IFERROR(INDEX(RECICLADORES!O:O,MATCH(D140,RECICLADORES!B:B,0)),"")</f>
        <v/>
      </c>
      <c r="R140" s="65"/>
      <c r="S140" s="65"/>
      <c r="T140" s="71"/>
      <c r="U140" s="71"/>
      <c r="V140" s="86"/>
    </row>
    <row r="141" spans="1:22" ht="18" customHeight="1" thickTop="1" thickBot="1" x14ac:dyDescent="0.3">
      <c r="A141" s="35"/>
      <c r="C141" s="13"/>
      <c r="I141" s="23"/>
      <c r="J141" s="29" t="str">
        <f t="shared" si="0"/>
        <v/>
      </c>
      <c r="L141" s="71"/>
      <c r="M141" s="71"/>
      <c r="N141" s="71"/>
      <c r="O141" s="71"/>
      <c r="P141" s="71" t="str">
        <f>IFERROR(INDEX(RECICLADORES!C:C,MATCH(D141,RECICLADORES!B:B,0)),"")</f>
        <v/>
      </c>
      <c r="Q141" s="71" t="str">
        <f>IFERROR(INDEX(RECICLADORES!O:O,MATCH(D141,RECICLADORES!B:B,0)),"")</f>
        <v/>
      </c>
      <c r="R141" s="65"/>
      <c r="S141" s="65"/>
      <c r="T141" s="71"/>
      <c r="U141" s="71"/>
      <c r="V141" s="86"/>
    </row>
    <row r="142" spans="1:22" ht="18" customHeight="1" thickTop="1" thickBot="1" x14ac:dyDescent="0.3">
      <c r="A142" s="34"/>
      <c r="C142" s="13"/>
      <c r="I142" s="23"/>
      <c r="J142" s="29" t="str">
        <f t="shared" si="0"/>
        <v/>
      </c>
      <c r="L142" s="71"/>
      <c r="M142" s="71"/>
      <c r="N142" s="71"/>
      <c r="O142" s="71"/>
      <c r="P142" s="71" t="str">
        <f>IFERROR(INDEX(RECICLADORES!C:C,MATCH(D142,RECICLADORES!B:B,0)),"")</f>
        <v/>
      </c>
      <c r="Q142" s="71" t="str">
        <f>IFERROR(INDEX(RECICLADORES!O:O,MATCH(D142,RECICLADORES!B:B,0)),"")</f>
        <v/>
      </c>
      <c r="R142" s="65"/>
      <c r="S142" s="65"/>
      <c r="T142" s="71"/>
      <c r="U142" s="71"/>
      <c r="V142" s="86"/>
    </row>
    <row r="143" spans="1:22" ht="18" customHeight="1" thickTop="1" thickBot="1" x14ac:dyDescent="0.3">
      <c r="A143" s="35"/>
      <c r="C143" s="13"/>
      <c r="I143" s="23"/>
      <c r="J143" s="29" t="str">
        <f t="shared" si="0"/>
        <v/>
      </c>
      <c r="L143" s="71"/>
      <c r="M143" s="71"/>
      <c r="N143" s="71"/>
      <c r="O143" s="71"/>
      <c r="P143" s="71" t="str">
        <f>IFERROR(INDEX(RECICLADORES!C:C,MATCH(D143,RECICLADORES!B:B,0)),"")</f>
        <v/>
      </c>
      <c r="Q143" s="71" t="str">
        <f>IFERROR(INDEX(RECICLADORES!O:O,MATCH(D143,RECICLADORES!B:B,0)),"")</f>
        <v/>
      </c>
      <c r="R143" s="65"/>
      <c r="S143" s="65"/>
      <c r="T143" s="71"/>
      <c r="U143" s="71"/>
      <c r="V143" s="86"/>
    </row>
    <row r="144" spans="1:22" ht="18" customHeight="1" thickTop="1" thickBot="1" x14ac:dyDescent="0.3">
      <c r="A144" s="34"/>
      <c r="C144" s="13"/>
      <c r="I144"/>
      <c r="J144" s="29" t="str">
        <f t="shared" si="0"/>
        <v/>
      </c>
      <c r="L144" s="71"/>
      <c r="M144" s="71"/>
      <c r="N144" s="71"/>
      <c r="O144" s="71"/>
      <c r="P144" s="71" t="str">
        <f>IFERROR(INDEX(RECICLADORES!C:C,MATCH(D144,RECICLADORES!B:B,0)),"")</f>
        <v/>
      </c>
      <c r="Q144" s="71" t="str">
        <f>IFERROR(INDEX(RECICLADORES!O:O,MATCH(D144,RECICLADORES!B:B,0)),"")</f>
        <v/>
      </c>
      <c r="R144" s="65"/>
      <c r="S144" s="65"/>
      <c r="T144" s="71"/>
      <c r="U144" s="71"/>
      <c r="V144" s="86"/>
    </row>
    <row r="145" spans="1:22" ht="18" customHeight="1" thickTop="1" thickBot="1" x14ac:dyDescent="0.3">
      <c r="A145" s="35"/>
      <c r="C145" s="13"/>
      <c r="I145" s="23"/>
      <c r="J145" s="29" t="str">
        <f t="shared" si="0"/>
        <v/>
      </c>
      <c r="L145" s="71"/>
      <c r="M145" s="71"/>
      <c r="N145" s="71"/>
      <c r="O145" s="71"/>
      <c r="P145" s="71" t="str">
        <f>IFERROR(INDEX(RECICLADORES!C:C,MATCH(D145,RECICLADORES!B:B,0)),"")</f>
        <v/>
      </c>
      <c r="Q145" s="71" t="str">
        <f>IFERROR(INDEX(RECICLADORES!O:O,MATCH(D145,RECICLADORES!B:B,0)),"")</f>
        <v/>
      </c>
      <c r="R145" s="65"/>
      <c r="S145" s="65"/>
      <c r="T145" s="71"/>
      <c r="U145" s="71"/>
      <c r="V145" s="86"/>
    </row>
    <row r="146" spans="1:22" ht="18" customHeight="1" thickTop="1" thickBot="1" x14ac:dyDescent="0.3">
      <c r="A146" s="34"/>
      <c r="C146" s="13"/>
      <c r="I146" s="23"/>
      <c r="J146" s="29" t="str">
        <f t="shared" si="0"/>
        <v/>
      </c>
      <c r="L146" s="71"/>
      <c r="M146" s="71"/>
      <c r="N146" s="71"/>
      <c r="O146" s="71"/>
      <c r="P146" s="71" t="str">
        <f>IFERROR(INDEX(RECICLADORES!C:C,MATCH(D146,RECICLADORES!B:B,0)),"")</f>
        <v/>
      </c>
      <c r="Q146" s="71" t="str">
        <f>IFERROR(INDEX(RECICLADORES!O:O,MATCH(D146,RECICLADORES!B:B,0)),"")</f>
        <v/>
      </c>
      <c r="R146" s="65"/>
      <c r="S146" s="65"/>
      <c r="T146" s="71"/>
      <c r="U146" s="71"/>
      <c r="V146" s="86"/>
    </row>
    <row r="147" spans="1:22" ht="18" customHeight="1" thickTop="1" thickBot="1" x14ac:dyDescent="0.3">
      <c r="A147" s="35"/>
      <c r="C147" s="13"/>
      <c r="I147" s="23"/>
      <c r="J147" s="29" t="str">
        <f t="shared" si="0"/>
        <v/>
      </c>
      <c r="L147" s="71"/>
      <c r="M147" s="71"/>
      <c r="N147" s="71"/>
      <c r="O147" s="71"/>
      <c r="P147" s="71" t="str">
        <f>IFERROR(INDEX(RECICLADORES!C:C,MATCH(D147,RECICLADORES!B:B,0)),"")</f>
        <v/>
      </c>
      <c r="Q147" s="71" t="str">
        <f>IFERROR(INDEX(RECICLADORES!O:O,MATCH(D147,RECICLADORES!B:B,0)),"")</f>
        <v/>
      </c>
      <c r="R147" s="65"/>
      <c r="S147" s="65"/>
      <c r="T147" s="71"/>
      <c r="U147" s="71"/>
      <c r="V147" s="86"/>
    </row>
    <row r="148" spans="1:22" ht="18" customHeight="1" thickTop="1" thickBot="1" x14ac:dyDescent="0.3">
      <c r="A148" s="34"/>
      <c r="C148" s="13"/>
      <c r="I148" s="23"/>
      <c r="J148" s="29" t="str">
        <f t="shared" si="0"/>
        <v/>
      </c>
      <c r="L148" s="71"/>
      <c r="M148" s="71"/>
      <c r="N148" s="71"/>
      <c r="O148" s="71"/>
      <c r="P148" s="71" t="str">
        <f>IFERROR(INDEX(RECICLADORES!C:C,MATCH(D148,RECICLADORES!B:B,0)),"")</f>
        <v/>
      </c>
      <c r="Q148" s="71" t="str">
        <f>IFERROR(INDEX(RECICLADORES!O:O,MATCH(D148,RECICLADORES!B:B,0)),"")</f>
        <v/>
      </c>
      <c r="R148" s="65"/>
      <c r="S148" s="65"/>
      <c r="T148" s="71"/>
      <c r="U148" s="71"/>
      <c r="V148" s="86"/>
    </row>
    <row r="149" spans="1:22" ht="18" customHeight="1" thickTop="1" thickBot="1" x14ac:dyDescent="0.3">
      <c r="A149" s="35"/>
      <c r="C149" s="13"/>
      <c r="I149" s="23"/>
      <c r="J149" s="29" t="str">
        <f t="shared" si="0"/>
        <v/>
      </c>
      <c r="L149" s="71"/>
      <c r="M149" s="71"/>
      <c r="N149" s="71"/>
      <c r="O149" s="71"/>
      <c r="P149" s="71" t="str">
        <f>IFERROR(INDEX(RECICLADORES!C:C,MATCH(D149,RECICLADORES!B:B,0)),"")</f>
        <v/>
      </c>
      <c r="Q149" s="71" t="str">
        <f>IFERROR(INDEX(RECICLADORES!O:O,MATCH(D149,RECICLADORES!B:B,0)),"")</f>
        <v/>
      </c>
      <c r="R149" s="65"/>
      <c r="S149" s="65"/>
      <c r="T149" s="71"/>
      <c r="U149" s="71"/>
      <c r="V149" s="86"/>
    </row>
    <row r="150" spans="1:22" ht="18" customHeight="1" thickTop="1" thickBot="1" x14ac:dyDescent="0.3">
      <c r="A150" s="34"/>
      <c r="C150" s="13"/>
      <c r="I150" s="23"/>
      <c r="J150" s="29" t="str">
        <f t="shared" si="0"/>
        <v/>
      </c>
      <c r="L150" s="71"/>
      <c r="M150" s="71"/>
      <c r="N150" s="71"/>
      <c r="O150" s="71"/>
      <c r="P150" s="71" t="str">
        <f>IFERROR(INDEX(RECICLADORES!C:C,MATCH(D150,RECICLADORES!B:B,0)),"")</f>
        <v/>
      </c>
      <c r="Q150" s="71" t="str">
        <f>IFERROR(INDEX(RECICLADORES!O:O,MATCH(D150,RECICLADORES!B:B,0)),"")</f>
        <v/>
      </c>
      <c r="R150" s="65"/>
      <c r="S150" s="65"/>
      <c r="T150" s="71"/>
      <c r="U150" s="71"/>
      <c r="V150" s="86"/>
    </row>
    <row r="151" spans="1:22" ht="18" customHeight="1" thickTop="1" thickBot="1" x14ac:dyDescent="0.3">
      <c r="A151" s="35"/>
      <c r="C151" s="13"/>
      <c r="I151"/>
      <c r="J151" s="29" t="str">
        <f t="shared" si="0"/>
        <v/>
      </c>
      <c r="L151" s="71"/>
      <c r="M151" s="71"/>
      <c r="N151" s="71"/>
      <c r="O151" s="71"/>
      <c r="P151" s="71" t="str">
        <f>IFERROR(INDEX(RECICLADORES!C:C,MATCH(D151,RECICLADORES!B:B,0)),"")</f>
        <v/>
      </c>
      <c r="Q151" s="71" t="str">
        <f>IFERROR(INDEX(RECICLADORES!O:O,MATCH(D151,RECICLADORES!B:B,0)),"")</f>
        <v/>
      </c>
      <c r="R151" s="65"/>
      <c r="S151" s="65"/>
      <c r="T151" s="71"/>
      <c r="U151" s="71"/>
      <c r="V151" s="86"/>
    </row>
    <row r="152" spans="1:22" ht="18" customHeight="1" thickTop="1" thickBot="1" x14ac:dyDescent="0.3">
      <c r="A152" s="34"/>
      <c r="C152" s="13"/>
      <c r="I152" s="23"/>
      <c r="J152" s="29" t="str">
        <f t="shared" si="0"/>
        <v/>
      </c>
      <c r="L152" s="71"/>
      <c r="M152" s="71"/>
      <c r="N152" s="71"/>
      <c r="O152" s="71"/>
      <c r="P152" s="71" t="str">
        <f>IFERROR(INDEX(RECICLADORES!C:C,MATCH(D152,RECICLADORES!B:B,0)),"")</f>
        <v/>
      </c>
      <c r="Q152" s="71" t="str">
        <f>IFERROR(INDEX(RECICLADORES!O:O,MATCH(D152,RECICLADORES!B:B,0)),"")</f>
        <v/>
      </c>
      <c r="R152" s="65"/>
      <c r="S152" s="65"/>
      <c r="T152" s="71"/>
      <c r="U152" s="71"/>
      <c r="V152" s="86"/>
    </row>
    <row r="153" spans="1:22" ht="18" customHeight="1" thickTop="1" thickBot="1" x14ac:dyDescent="0.3">
      <c r="A153" s="35"/>
      <c r="C153" s="13"/>
      <c r="I153" s="23"/>
      <c r="J153" s="29" t="str">
        <f t="shared" si="0"/>
        <v/>
      </c>
      <c r="L153" s="71"/>
      <c r="M153" s="71"/>
      <c r="N153" s="71"/>
      <c r="O153" s="71"/>
      <c r="P153" s="71" t="str">
        <f>IFERROR(INDEX(RECICLADORES!C:C,MATCH(D153,RECICLADORES!B:B,0)),"")</f>
        <v/>
      </c>
      <c r="Q153" s="71" t="str">
        <f>IFERROR(INDEX(RECICLADORES!O:O,MATCH(D153,RECICLADORES!B:B,0)),"")</f>
        <v/>
      </c>
      <c r="R153" s="65"/>
      <c r="S153" s="65"/>
      <c r="T153" s="71"/>
      <c r="U153" s="71"/>
      <c r="V153" s="86"/>
    </row>
    <row r="154" spans="1:22" ht="18" customHeight="1" thickTop="1" thickBot="1" x14ac:dyDescent="0.3">
      <c r="A154" s="34"/>
      <c r="C154" s="13"/>
      <c r="I154" s="23"/>
      <c r="J154" s="29" t="str">
        <f t="shared" si="0"/>
        <v/>
      </c>
      <c r="L154" s="71"/>
      <c r="M154" s="71"/>
      <c r="N154" s="71"/>
      <c r="O154" s="71"/>
      <c r="P154" s="71" t="str">
        <f>IFERROR(INDEX(RECICLADORES!C:C,MATCH(D154,RECICLADORES!B:B,0)),"")</f>
        <v/>
      </c>
      <c r="Q154" s="71" t="str">
        <f>IFERROR(INDEX(RECICLADORES!O:O,MATCH(D154,RECICLADORES!B:B,0)),"")</f>
        <v/>
      </c>
      <c r="R154" s="65"/>
      <c r="S154" s="65"/>
      <c r="T154" s="71"/>
      <c r="U154" s="71"/>
      <c r="V154" s="86"/>
    </row>
    <row r="155" spans="1:22" ht="18" customHeight="1" thickTop="1" thickBot="1" x14ac:dyDescent="0.3">
      <c r="A155" s="35"/>
      <c r="C155" s="13"/>
      <c r="I155" s="23"/>
      <c r="J155" s="29" t="str">
        <f t="shared" si="0"/>
        <v/>
      </c>
      <c r="L155" s="71"/>
      <c r="M155" s="71"/>
      <c r="N155" s="71"/>
      <c r="O155" s="71"/>
      <c r="P155" s="71" t="str">
        <f>IFERROR(INDEX(RECICLADORES!C:C,MATCH(D155,RECICLADORES!B:B,0)),"")</f>
        <v/>
      </c>
      <c r="Q155" s="71" t="str">
        <f>IFERROR(INDEX(RECICLADORES!O:O,MATCH(D155,RECICLADORES!B:B,0)),"")</f>
        <v/>
      </c>
      <c r="R155" s="65"/>
      <c r="S155" s="65"/>
      <c r="T155" s="71"/>
      <c r="U155" s="71"/>
      <c r="V155" s="86"/>
    </row>
    <row r="156" spans="1:22" ht="18" customHeight="1" thickTop="1" thickBot="1" x14ac:dyDescent="0.3">
      <c r="A156" s="34"/>
      <c r="C156" s="13"/>
      <c r="I156" s="23"/>
      <c r="J156" s="29" t="str">
        <f t="shared" si="0"/>
        <v/>
      </c>
      <c r="L156" s="71"/>
      <c r="M156" s="71"/>
      <c r="N156" s="71"/>
      <c r="O156" s="71"/>
      <c r="P156" s="71" t="str">
        <f>IFERROR(INDEX(RECICLADORES!C:C,MATCH(D156,RECICLADORES!B:B,0)),"")</f>
        <v/>
      </c>
      <c r="Q156" s="71" t="str">
        <f>IFERROR(INDEX(RECICLADORES!O:O,MATCH(D156,RECICLADORES!B:B,0)),"")</f>
        <v/>
      </c>
      <c r="R156" s="65"/>
      <c r="S156" s="65"/>
      <c r="T156" s="71"/>
      <c r="U156" s="71"/>
      <c r="V156" s="86"/>
    </row>
    <row r="157" spans="1:22" ht="18" customHeight="1" thickTop="1" thickBot="1" x14ac:dyDescent="0.3">
      <c r="A157" s="35"/>
      <c r="C157" s="13"/>
      <c r="I157" s="23"/>
      <c r="J157" s="29" t="str">
        <f t="shared" si="0"/>
        <v/>
      </c>
      <c r="L157" s="71"/>
      <c r="M157" s="71"/>
      <c r="N157" s="71"/>
      <c r="O157" s="71"/>
      <c r="P157" s="71" t="str">
        <f>IFERROR(INDEX(RECICLADORES!C:C,MATCH(D157,RECICLADORES!B:B,0)),"")</f>
        <v/>
      </c>
      <c r="Q157" s="71" t="str">
        <f>IFERROR(INDEX(RECICLADORES!O:O,MATCH(D157,RECICLADORES!B:B,0)),"")</f>
        <v/>
      </c>
      <c r="R157" s="65"/>
      <c r="S157" s="65"/>
      <c r="T157" s="71"/>
      <c r="U157" s="71"/>
      <c r="V157" s="86"/>
    </row>
    <row r="158" spans="1:22" ht="18" customHeight="1" thickTop="1" thickBot="1" x14ac:dyDescent="0.3">
      <c r="A158" s="34"/>
      <c r="C158" s="13"/>
      <c r="I158"/>
      <c r="J158" s="29" t="str">
        <f t="shared" si="0"/>
        <v/>
      </c>
      <c r="L158" s="71"/>
      <c r="M158" s="71"/>
      <c r="N158" s="71"/>
      <c r="O158" s="71"/>
      <c r="P158" s="71" t="str">
        <f>IFERROR(INDEX(RECICLADORES!C:C,MATCH(D158,RECICLADORES!B:B,0)),"")</f>
        <v/>
      </c>
      <c r="Q158" s="71" t="str">
        <f>IFERROR(INDEX(RECICLADORES!O:O,MATCH(D158,RECICLADORES!B:B,0)),"")</f>
        <v/>
      </c>
      <c r="R158" s="65"/>
      <c r="S158" s="65"/>
      <c r="T158" s="71"/>
      <c r="U158" s="71"/>
      <c r="V158" s="86"/>
    </row>
    <row r="159" spans="1:22" ht="18" customHeight="1" thickTop="1" thickBot="1" x14ac:dyDescent="0.3">
      <c r="A159" s="35"/>
      <c r="C159" s="13"/>
      <c r="I159" s="23"/>
      <c r="J159" s="29" t="str">
        <f t="shared" si="0"/>
        <v/>
      </c>
      <c r="L159" s="71"/>
      <c r="M159" s="71"/>
      <c r="N159" s="71"/>
      <c r="O159" s="71"/>
      <c r="P159" s="71" t="str">
        <f>IFERROR(INDEX(RECICLADORES!C:C,MATCH(D159,RECICLADORES!B:B,0)),"")</f>
        <v/>
      </c>
      <c r="Q159" s="71" t="str">
        <f>IFERROR(INDEX(RECICLADORES!O:O,MATCH(D159,RECICLADORES!B:B,0)),"")</f>
        <v/>
      </c>
      <c r="R159" s="65"/>
      <c r="S159" s="65"/>
      <c r="T159" s="71"/>
      <c r="U159" s="71"/>
      <c r="V159" s="86"/>
    </row>
    <row r="160" spans="1:22" ht="18" customHeight="1" thickTop="1" thickBot="1" x14ac:dyDescent="0.3">
      <c r="A160" s="34"/>
      <c r="C160" s="13"/>
      <c r="I160" s="23"/>
      <c r="J160" s="29" t="str">
        <f t="shared" si="0"/>
        <v/>
      </c>
      <c r="L160" s="71"/>
      <c r="M160" s="71"/>
      <c r="N160" s="71"/>
      <c r="O160" s="71"/>
      <c r="P160" s="71" t="str">
        <f>IFERROR(INDEX(RECICLADORES!C:C,MATCH(D160,RECICLADORES!B:B,0)),"")</f>
        <v/>
      </c>
      <c r="Q160" s="71" t="str">
        <f>IFERROR(INDEX(RECICLADORES!O:O,MATCH(D160,RECICLADORES!B:B,0)),"")</f>
        <v/>
      </c>
      <c r="R160" s="65"/>
      <c r="S160" s="65"/>
      <c r="T160" s="71"/>
      <c r="U160" s="71"/>
      <c r="V160" s="86"/>
    </row>
    <row r="161" spans="1:22" ht="18" customHeight="1" thickTop="1" thickBot="1" x14ac:dyDescent="0.3">
      <c r="A161" s="35"/>
      <c r="C161" s="13"/>
      <c r="I161" s="23"/>
      <c r="J161" s="29" t="str">
        <f t="shared" si="0"/>
        <v/>
      </c>
      <c r="L161" s="71"/>
      <c r="M161" s="71"/>
      <c r="N161" s="71"/>
      <c r="O161" s="71"/>
      <c r="P161" s="71" t="str">
        <f>IFERROR(INDEX(RECICLADORES!C:C,MATCH(D161,RECICLADORES!B:B,0)),"")</f>
        <v/>
      </c>
      <c r="Q161" s="71" t="str">
        <f>IFERROR(INDEX(RECICLADORES!O:O,MATCH(D161,RECICLADORES!B:B,0)),"")</f>
        <v/>
      </c>
      <c r="R161" s="65"/>
      <c r="S161" s="65"/>
      <c r="T161" s="71"/>
      <c r="U161" s="71"/>
      <c r="V161" s="86"/>
    </row>
    <row r="162" spans="1:22" ht="18" customHeight="1" thickTop="1" thickBot="1" x14ac:dyDescent="0.3">
      <c r="A162" s="34"/>
      <c r="C162" s="13"/>
      <c r="I162" s="23"/>
      <c r="J162" s="29" t="str">
        <f t="shared" si="0"/>
        <v/>
      </c>
      <c r="L162" s="71"/>
      <c r="M162" s="71"/>
      <c r="N162" s="71"/>
      <c r="O162" s="71"/>
      <c r="P162" s="71" t="str">
        <f>IFERROR(INDEX(RECICLADORES!C:C,MATCH(D162,RECICLADORES!B:B,0)),"")</f>
        <v/>
      </c>
      <c r="Q162" s="71" t="str">
        <f>IFERROR(INDEX(RECICLADORES!O:O,MATCH(D162,RECICLADORES!B:B,0)),"")</f>
        <v/>
      </c>
      <c r="R162" s="65"/>
      <c r="S162" s="65"/>
      <c r="T162" s="71"/>
      <c r="U162" s="71"/>
      <c r="V162" s="86"/>
    </row>
    <row r="163" spans="1:22" ht="18" customHeight="1" thickTop="1" thickBot="1" x14ac:dyDescent="0.3">
      <c r="A163" s="35"/>
      <c r="C163" s="13"/>
      <c r="I163" s="23"/>
      <c r="J163" s="29" t="str">
        <f t="shared" si="0"/>
        <v/>
      </c>
      <c r="L163" s="71"/>
      <c r="M163" s="71"/>
      <c r="N163" s="71"/>
      <c r="O163" s="71"/>
      <c r="P163" s="71" t="str">
        <f>IFERROR(INDEX(RECICLADORES!C:C,MATCH(D163,RECICLADORES!B:B,0)),"")</f>
        <v/>
      </c>
      <c r="Q163" s="71" t="str">
        <f>IFERROR(INDEX(RECICLADORES!O:O,MATCH(D163,RECICLADORES!B:B,0)),"")</f>
        <v/>
      </c>
      <c r="R163" s="65"/>
      <c r="S163" s="65"/>
      <c r="T163" s="71"/>
      <c r="U163" s="71"/>
      <c r="V163" s="86"/>
    </row>
    <row r="164" spans="1:22" ht="18" customHeight="1" thickTop="1" thickBot="1" x14ac:dyDescent="0.3">
      <c r="A164" s="35"/>
      <c r="C164" s="13"/>
      <c r="I164" s="23"/>
      <c r="J164" s="29" t="str">
        <f t="shared" si="0"/>
        <v/>
      </c>
      <c r="L164" s="71"/>
      <c r="M164" s="71"/>
      <c r="N164" s="71"/>
      <c r="O164" s="71"/>
      <c r="P164" s="71" t="str">
        <f>IFERROR(INDEX(RECICLADORES!C:C,MATCH(D164,RECICLADORES!B:B,0)),"")</f>
        <v/>
      </c>
      <c r="Q164" s="71" t="str">
        <f>IFERROR(INDEX(RECICLADORES!O:O,MATCH(D164,RECICLADORES!B:B,0)),"")</f>
        <v/>
      </c>
      <c r="R164" s="65"/>
      <c r="S164" s="65"/>
      <c r="T164" s="71"/>
      <c r="U164" s="71"/>
      <c r="V164" s="86"/>
    </row>
    <row r="165" spans="1:22" ht="18" customHeight="1" thickTop="1" thickBot="1" x14ac:dyDescent="0.3">
      <c r="A165" s="34"/>
      <c r="C165" s="13"/>
      <c r="I165"/>
      <c r="J165" s="29" t="str">
        <f t="shared" si="0"/>
        <v/>
      </c>
      <c r="L165" s="71"/>
      <c r="M165" s="71"/>
      <c r="N165" s="71"/>
      <c r="O165" s="71"/>
      <c r="P165" s="71" t="str">
        <f>IFERROR(INDEX(RECICLADORES!C:C,MATCH(D165,RECICLADORES!B:B,0)),"")</f>
        <v/>
      </c>
      <c r="Q165" s="71" t="str">
        <f>IFERROR(INDEX(RECICLADORES!O:O,MATCH(D165,RECICLADORES!B:B,0)),"")</f>
        <v/>
      </c>
      <c r="R165" s="65"/>
      <c r="S165" s="65"/>
      <c r="T165" s="71"/>
      <c r="U165" s="71"/>
      <c r="V165" s="86"/>
    </row>
    <row r="166" spans="1:22" ht="18" customHeight="1" thickTop="1" thickBot="1" x14ac:dyDescent="0.3">
      <c r="A166" s="35"/>
      <c r="C166" s="13"/>
      <c r="I166" s="23"/>
      <c r="J166" s="29" t="str">
        <f t="shared" si="0"/>
        <v/>
      </c>
      <c r="L166" s="71"/>
      <c r="M166" s="71"/>
      <c r="N166" s="71"/>
      <c r="O166" s="71"/>
      <c r="P166" s="71" t="str">
        <f>IFERROR(INDEX(RECICLADORES!C:C,MATCH(D166,RECICLADORES!B:B,0)),"")</f>
        <v/>
      </c>
      <c r="Q166" s="71" t="str">
        <f>IFERROR(INDEX(RECICLADORES!O:O,MATCH(D166,RECICLADORES!B:B,0)),"")</f>
        <v/>
      </c>
      <c r="R166" s="65"/>
      <c r="S166" s="65"/>
      <c r="T166" s="71"/>
      <c r="U166" s="71"/>
      <c r="V166" s="86"/>
    </row>
    <row r="167" spans="1:22" ht="18" customHeight="1" thickTop="1" thickBot="1" x14ac:dyDescent="0.3">
      <c r="A167" s="34"/>
      <c r="C167" s="13"/>
      <c r="I167" s="23"/>
      <c r="J167" s="29" t="str">
        <f t="shared" si="0"/>
        <v/>
      </c>
      <c r="L167" s="71"/>
      <c r="M167" s="71"/>
      <c r="N167" s="71"/>
      <c r="O167" s="71"/>
      <c r="P167" s="71" t="str">
        <f>IFERROR(INDEX(RECICLADORES!C:C,MATCH(D167,RECICLADORES!B:B,0)),"")</f>
        <v/>
      </c>
      <c r="Q167" s="71" t="str">
        <f>IFERROR(INDEX(RECICLADORES!O:O,MATCH(D167,RECICLADORES!B:B,0)),"")</f>
        <v/>
      </c>
      <c r="R167" s="65"/>
      <c r="S167" s="65"/>
      <c r="T167" s="71"/>
      <c r="U167" s="71"/>
      <c r="V167" s="86"/>
    </row>
    <row r="168" spans="1:22" ht="18" customHeight="1" thickTop="1" thickBot="1" x14ac:dyDescent="0.3">
      <c r="A168" s="35"/>
      <c r="C168" s="13"/>
      <c r="I168" s="23"/>
      <c r="J168" s="29" t="str">
        <f t="shared" si="0"/>
        <v/>
      </c>
      <c r="L168" s="71"/>
      <c r="M168" s="71"/>
      <c r="N168" s="71"/>
      <c r="O168" s="71"/>
      <c r="P168" s="71" t="str">
        <f>IFERROR(INDEX(RECICLADORES!C:C,MATCH(D168,RECICLADORES!B:B,0)),"")</f>
        <v/>
      </c>
      <c r="Q168" s="71" t="str">
        <f>IFERROR(INDEX(RECICLADORES!O:O,MATCH(D168,RECICLADORES!B:B,0)),"")</f>
        <v/>
      </c>
      <c r="R168" s="65"/>
      <c r="S168" s="65"/>
      <c r="T168" s="71"/>
      <c r="U168" s="71"/>
      <c r="V168" s="86"/>
    </row>
    <row r="169" spans="1:22" ht="18" customHeight="1" thickTop="1" thickBot="1" x14ac:dyDescent="0.3">
      <c r="A169" s="34"/>
      <c r="C169" s="13"/>
      <c r="I169" s="23"/>
      <c r="J169" s="29" t="str">
        <f t="shared" si="0"/>
        <v/>
      </c>
      <c r="L169" s="71"/>
      <c r="M169" s="71"/>
      <c r="N169" s="71"/>
      <c r="O169" s="71"/>
      <c r="P169" s="71" t="str">
        <f>IFERROR(INDEX(RECICLADORES!C:C,MATCH(D169,RECICLADORES!B:B,0)),"")</f>
        <v/>
      </c>
      <c r="Q169" s="71" t="str">
        <f>IFERROR(INDEX(RECICLADORES!O:O,MATCH(D169,RECICLADORES!B:B,0)),"")</f>
        <v/>
      </c>
      <c r="R169" s="65"/>
      <c r="S169" s="65"/>
      <c r="T169" s="71"/>
      <c r="U169" s="71"/>
      <c r="V169" s="86"/>
    </row>
    <row r="170" spans="1:22" ht="18" customHeight="1" thickTop="1" thickBot="1" x14ac:dyDescent="0.3">
      <c r="A170" s="35"/>
      <c r="C170" s="13"/>
      <c r="I170" s="23"/>
      <c r="J170" s="29" t="str">
        <f t="shared" si="0"/>
        <v/>
      </c>
      <c r="L170" s="71"/>
      <c r="M170" s="71"/>
      <c r="N170" s="71"/>
      <c r="O170" s="71"/>
      <c r="P170" s="71" t="str">
        <f>IFERROR(INDEX(RECICLADORES!C:C,MATCH(D170,RECICLADORES!B:B,0)),"")</f>
        <v/>
      </c>
      <c r="Q170" s="71" t="str">
        <f>IFERROR(INDEX(RECICLADORES!O:O,MATCH(D170,RECICLADORES!B:B,0)),"")</f>
        <v/>
      </c>
      <c r="R170" s="65"/>
      <c r="S170" s="65"/>
      <c r="T170" s="71"/>
      <c r="U170" s="71"/>
      <c r="V170" s="86"/>
    </row>
    <row r="171" spans="1:22" ht="18" customHeight="1" thickTop="1" thickBot="1" x14ac:dyDescent="0.3">
      <c r="A171" s="34"/>
      <c r="C171" s="13"/>
      <c r="I171" s="23"/>
      <c r="J171" s="29" t="str">
        <f t="shared" ref="J171:J234" si="1">IF(C171="","",INT((DAY(C171)-1)/7)+1)</f>
        <v/>
      </c>
      <c r="L171" s="71"/>
      <c r="M171" s="71"/>
      <c r="N171" s="71"/>
      <c r="O171" s="71"/>
      <c r="P171" s="71" t="str">
        <f>IFERROR(INDEX(RECICLADORES!C:C,MATCH(D171,RECICLADORES!B:B,0)),"")</f>
        <v/>
      </c>
      <c r="Q171" s="71" t="str">
        <f>IFERROR(INDEX(RECICLADORES!O:O,MATCH(D171,RECICLADORES!B:B,0)),"")</f>
        <v/>
      </c>
      <c r="R171" s="65"/>
      <c r="S171" s="65"/>
      <c r="T171" s="71"/>
      <c r="U171" s="71"/>
      <c r="V171" s="86"/>
    </row>
    <row r="172" spans="1:22" ht="18" customHeight="1" thickTop="1" thickBot="1" x14ac:dyDescent="0.3">
      <c r="A172" s="35"/>
      <c r="C172" s="13"/>
      <c r="I172"/>
      <c r="J172" s="29" t="str">
        <f t="shared" si="1"/>
        <v/>
      </c>
      <c r="L172" s="71"/>
      <c r="M172" s="71"/>
      <c r="N172" s="71"/>
      <c r="O172" s="71"/>
      <c r="P172" s="71" t="str">
        <f>IFERROR(INDEX(RECICLADORES!C:C,MATCH(D172,RECICLADORES!B:B,0)),"")</f>
        <v/>
      </c>
      <c r="Q172" s="71" t="str">
        <f>IFERROR(INDEX(RECICLADORES!O:O,MATCH(D172,RECICLADORES!B:B,0)),"")</f>
        <v/>
      </c>
      <c r="R172" s="65"/>
      <c r="S172" s="65"/>
      <c r="T172" s="71"/>
      <c r="U172" s="71"/>
      <c r="V172" s="86"/>
    </row>
    <row r="173" spans="1:22" ht="18" customHeight="1" thickTop="1" thickBot="1" x14ac:dyDescent="0.3">
      <c r="A173" s="34"/>
      <c r="C173" s="13"/>
      <c r="I173" s="23"/>
      <c r="J173" s="29" t="str">
        <f t="shared" si="1"/>
        <v/>
      </c>
      <c r="L173" s="71"/>
      <c r="M173" s="71"/>
      <c r="N173" s="71"/>
      <c r="O173" s="71"/>
      <c r="P173" s="71" t="str">
        <f>IFERROR(INDEX(RECICLADORES!C:C,MATCH(D173,RECICLADORES!B:B,0)),"")</f>
        <v/>
      </c>
      <c r="Q173" s="71" t="str">
        <f>IFERROR(INDEX(RECICLADORES!O:O,MATCH(D173,RECICLADORES!B:B,0)),"")</f>
        <v/>
      </c>
      <c r="R173" s="65"/>
      <c r="S173" s="65"/>
      <c r="T173" s="71"/>
      <c r="U173" s="71"/>
      <c r="V173" s="86"/>
    </row>
    <row r="174" spans="1:22" ht="18" customHeight="1" thickTop="1" thickBot="1" x14ac:dyDescent="0.3">
      <c r="A174" s="35"/>
      <c r="C174" s="13"/>
      <c r="I174" s="23"/>
      <c r="J174" s="29" t="str">
        <f t="shared" si="1"/>
        <v/>
      </c>
      <c r="L174" s="71"/>
      <c r="M174" s="71"/>
      <c r="N174" s="71"/>
      <c r="O174" s="71"/>
      <c r="P174" s="71" t="str">
        <f>IFERROR(INDEX(RECICLADORES!C:C,MATCH(D174,RECICLADORES!B:B,0)),"")</f>
        <v/>
      </c>
      <c r="Q174" s="71" t="str">
        <f>IFERROR(INDEX(RECICLADORES!O:O,MATCH(D174,RECICLADORES!B:B,0)),"")</f>
        <v/>
      </c>
      <c r="R174" s="65"/>
      <c r="S174" s="65"/>
      <c r="T174" s="71"/>
      <c r="U174" s="71"/>
      <c r="V174" s="86"/>
    </row>
    <row r="175" spans="1:22" ht="18" customHeight="1" thickTop="1" thickBot="1" x14ac:dyDescent="0.3">
      <c r="A175" s="34"/>
      <c r="C175" s="13"/>
      <c r="I175" s="23"/>
      <c r="J175" s="29" t="str">
        <f t="shared" si="1"/>
        <v/>
      </c>
      <c r="L175" s="71"/>
      <c r="M175" s="71"/>
      <c r="N175" s="71"/>
      <c r="O175" s="71"/>
      <c r="P175" s="71" t="str">
        <f>IFERROR(INDEX(RECICLADORES!C:C,MATCH(D175,RECICLADORES!B:B,0)),"")</f>
        <v/>
      </c>
      <c r="Q175" s="71" t="str">
        <f>IFERROR(INDEX(RECICLADORES!O:O,MATCH(D175,RECICLADORES!B:B,0)),"")</f>
        <v/>
      </c>
      <c r="R175" s="65"/>
      <c r="S175" s="65"/>
      <c r="T175" s="71"/>
      <c r="U175" s="71"/>
      <c r="V175" s="86"/>
    </row>
    <row r="176" spans="1:22" ht="18" customHeight="1" thickTop="1" thickBot="1" x14ac:dyDescent="0.3">
      <c r="A176" s="35"/>
      <c r="C176" s="13"/>
      <c r="I176" s="23"/>
      <c r="J176" s="29" t="str">
        <f t="shared" si="1"/>
        <v/>
      </c>
      <c r="L176" s="71"/>
      <c r="M176" s="71"/>
      <c r="N176" s="71"/>
      <c r="O176" s="71"/>
      <c r="P176" s="71" t="str">
        <f>IFERROR(INDEX(RECICLADORES!C:C,MATCH(D176,RECICLADORES!B:B,0)),"")</f>
        <v/>
      </c>
      <c r="Q176" s="71" t="str">
        <f>IFERROR(INDEX(RECICLADORES!O:O,MATCH(D176,RECICLADORES!B:B,0)),"")</f>
        <v/>
      </c>
      <c r="R176" s="65"/>
      <c r="S176" s="65"/>
      <c r="T176" s="71"/>
      <c r="U176" s="71"/>
      <c r="V176" s="86"/>
    </row>
    <row r="177" spans="1:22" ht="18" customHeight="1" thickTop="1" thickBot="1" x14ac:dyDescent="0.3">
      <c r="A177" s="34"/>
      <c r="C177" s="13"/>
      <c r="I177" s="23"/>
      <c r="J177" s="29" t="str">
        <f t="shared" si="1"/>
        <v/>
      </c>
      <c r="L177" s="71"/>
      <c r="M177" s="71"/>
      <c r="N177" s="71"/>
      <c r="O177" s="71"/>
      <c r="P177" s="71" t="str">
        <f>IFERROR(INDEX(RECICLADORES!C:C,MATCH(D177,RECICLADORES!B:B,0)),"")</f>
        <v/>
      </c>
      <c r="Q177" s="71" t="str">
        <f>IFERROR(INDEX(RECICLADORES!O:O,MATCH(D177,RECICLADORES!B:B,0)),"")</f>
        <v/>
      </c>
      <c r="R177" s="65"/>
      <c r="S177" s="65"/>
      <c r="T177" s="71"/>
      <c r="U177" s="71"/>
      <c r="V177" s="86"/>
    </row>
    <row r="178" spans="1:22" ht="18" customHeight="1" thickTop="1" thickBot="1" x14ac:dyDescent="0.3">
      <c r="A178" s="35"/>
      <c r="C178" s="13"/>
      <c r="I178" s="23"/>
      <c r="J178" s="29" t="str">
        <f t="shared" si="1"/>
        <v/>
      </c>
      <c r="L178" s="71"/>
      <c r="M178" s="71"/>
      <c r="N178" s="71"/>
      <c r="O178" s="71"/>
      <c r="P178" s="71" t="str">
        <f>IFERROR(INDEX(RECICLADORES!C:C,MATCH(D178,RECICLADORES!B:B,0)),"")</f>
        <v/>
      </c>
      <c r="Q178" s="71" t="str">
        <f>IFERROR(INDEX(RECICLADORES!O:O,MATCH(D178,RECICLADORES!B:B,0)),"")</f>
        <v/>
      </c>
      <c r="R178" s="65"/>
      <c r="S178" s="65"/>
      <c r="T178" s="71"/>
      <c r="U178" s="71"/>
      <c r="V178" s="86"/>
    </row>
    <row r="179" spans="1:22" ht="18" customHeight="1" thickTop="1" thickBot="1" x14ac:dyDescent="0.3">
      <c r="A179" s="34"/>
      <c r="C179" s="13"/>
      <c r="I179" s="23"/>
      <c r="J179" s="29" t="str">
        <f t="shared" si="1"/>
        <v/>
      </c>
      <c r="L179" s="71"/>
      <c r="M179" s="71"/>
      <c r="N179" s="71"/>
      <c r="O179" s="71"/>
      <c r="P179" s="71" t="str">
        <f>IFERROR(INDEX(RECICLADORES!C:C,MATCH(D179,RECICLADORES!B:B,0)),"")</f>
        <v/>
      </c>
      <c r="Q179" s="71" t="str">
        <f>IFERROR(INDEX(RECICLADORES!O:O,MATCH(D179,RECICLADORES!B:B,0)),"")</f>
        <v/>
      </c>
      <c r="R179" s="65"/>
      <c r="S179" s="65"/>
      <c r="T179" s="71"/>
      <c r="U179" s="71"/>
      <c r="V179" s="86"/>
    </row>
    <row r="180" spans="1:22" ht="18" customHeight="1" thickTop="1" thickBot="1" x14ac:dyDescent="0.3">
      <c r="A180" s="35"/>
      <c r="C180" s="13"/>
      <c r="I180" s="23"/>
      <c r="J180" s="29" t="str">
        <f t="shared" si="1"/>
        <v/>
      </c>
      <c r="L180" s="71"/>
      <c r="M180" s="71"/>
      <c r="N180" s="71"/>
      <c r="O180" s="71"/>
      <c r="P180" s="71" t="str">
        <f>IFERROR(INDEX(RECICLADORES!C:C,MATCH(D180,RECICLADORES!B:B,0)),"")</f>
        <v/>
      </c>
      <c r="Q180" s="71" t="str">
        <f>IFERROR(INDEX(RECICLADORES!O:O,MATCH(D180,RECICLADORES!B:B,0)),"")</f>
        <v/>
      </c>
      <c r="R180" s="65"/>
      <c r="S180" s="65"/>
      <c r="T180" s="71"/>
      <c r="U180" s="71"/>
      <c r="V180" s="86"/>
    </row>
    <row r="181" spans="1:22" ht="18" customHeight="1" thickTop="1" thickBot="1" x14ac:dyDescent="0.3">
      <c r="A181" s="34"/>
      <c r="C181" s="13"/>
      <c r="I181" s="23"/>
      <c r="J181" s="29" t="str">
        <f t="shared" si="1"/>
        <v/>
      </c>
      <c r="L181" s="71"/>
      <c r="M181" s="71"/>
      <c r="N181" s="71"/>
      <c r="O181" s="71"/>
      <c r="P181" s="71" t="str">
        <f>IFERROR(INDEX(RECICLADORES!C:C,MATCH(D181,RECICLADORES!B:B,0)),"")</f>
        <v/>
      </c>
      <c r="Q181" s="71" t="str">
        <f>IFERROR(INDEX(RECICLADORES!O:O,MATCH(D181,RECICLADORES!B:B,0)),"")</f>
        <v/>
      </c>
      <c r="R181" s="65"/>
      <c r="S181" s="65"/>
      <c r="T181" s="71"/>
      <c r="U181" s="71"/>
      <c r="V181" s="86"/>
    </row>
    <row r="182" spans="1:22" ht="18" customHeight="1" thickTop="1" thickBot="1" x14ac:dyDescent="0.3">
      <c r="A182" s="35"/>
      <c r="C182" s="13"/>
      <c r="I182" s="23"/>
      <c r="J182" s="29" t="str">
        <f t="shared" si="1"/>
        <v/>
      </c>
      <c r="L182" s="71"/>
      <c r="M182" s="71"/>
      <c r="N182" s="71"/>
      <c r="O182" s="71"/>
      <c r="P182" s="71" t="str">
        <f>IFERROR(INDEX(RECICLADORES!C:C,MATCH(D182,RECICLADORES!B:B,0)),"")</f>
        <v/>
      </c>
      <c r="Q182" s="71" t="str">
        <f>IFERROR(INDEX(RECICLADORES!O:O,MATCH(D182,RECICLADORES!B:B,0)),"")</f>
        <v/>
      </c>
      <c r="R182" s="65"/>
      <c r="S182" s="65"/>
      <c r="T182" s="71"/>
      <c r="U182" s="71"/>
      <c r="V182" s="86"/>
    </row>
    <row r="183" spans="1:22" ht="18" customHeight="1" thickTop="1" thickBot="1" x14ac:dyDescent="0.3">
      <c r="A183" s="34"/>
      <c r="C183" s="13"/>
      <c r="I183" s="23"/>
      <c r="J183" s="29" t="str">
        <f t="shared" si="1"/>
        <v/>
      </c>
      <c r="L183" s="71"/>
      <c r="M183" s="71"/>
      <c r="N183" s="71"/>
      <c r="O183" s="71"/>
      <c r="P183" s="71" t="str">
        <f>IFERROR(INDEX(RECICLADORES!C:C,MATCH(D183,RECICLADORES!B:B,0)),"")</f>
        <v/>
      </c>
      <c r="Q183" s="71" t="str">
        <f>IFERROR(INDEX(RECICLADORES!O:O,MATCH(D183,RECICLADORES!B:B,0)),"")</f>
        <v/>
      </c>
      <c r="R183" s="65"/>
      <c r="S183" s="65"/>
      <c r="T183" s="71"/>
      <c r="U183" s="71"/>
      <c r="V183" s="86"/>
    </row>
    <row r="184" spans="1:22" ht="18" customHeight="1" thickTop="1" thickBot="1" x14ac:dyDescent="0.3">
      <c r="A184" s="35"/>
      <c r="C184" s="13"/>
      <c r="I184" s="23"/>
      <c r="J184" s="29" t="str">
        <f t="shared" si="1"/>
        <v/>
      </c>
      <c r="L184" s="71"/>
      <c r="M184" s="71"/>
      <c r="N184" s="71"/>
      <c r="O184" s="71"/>
      <c r="P184" s="71" t="str">
        <f>IFERROR(INDEX(RECICLADORES!C:C,MATCH(D184,RECICLADORES!B:B,0)),"")</f>
        <v/>
      </c>
      <c r="Q184" s="71" t="str">
        <f>IFERROR(INDEX(RECICLADORES!O:O,MATCH(D184,RECICLADORES!B:B,0)),"")</f>
        <v/>
      </c>
      <c r="R184" s="65"/>
      <c r="S184" s="65"/>
      <c r="T184" s="71"/>
      <c r="U184" s="71"/>
      <c r="V184" s="86"/>
    </row>
    <row r="185" spans="1:22" ht="18" customHeight="1" thickTop="1" thickBot="1" x14ac:dyDescent="0.3">
      <c r="A185" s="34"/>
      <c r="C185" s="13"/>
      <c r="I185" s="23"/>
      <c r="J185" s="29" t="str">
        <f t="shared" si="1"/>
        <v/>
      </c>
      <c r="L185" s="71"/>
      <c r="M185" s="71"/>
      <c r="N185" s="71"/>
      <c r="O185" s="71"/>
      <c r="P185" s="71" t="str">
        <f>IFERROR(INDEX(RECICLADORES!C:C,MATCH(D185,RECICLADORES!B:B,0)),"")</f>
        <v/>
      </c>
      <c r="Q185" s="71" t="str">
        <f>IFERROR(INDEX(RECICLADORES!O:O,MATCH(D185,RECICLADORES!B:B,0)),"")</f>
        <v/>
      </c>
      <c r="R185" s="65"/>
      <c r="S185" s="65"/>
      <c r="T185" s="71"/>
      <c r="U185" s="71"/>
      <c r="V185" s="86"/>
    </row>
    <row r="186" spans="1:22" ht="18" customHeight="1" thickTop="1" thickBot="1" x14ac:dyDescent="0.3">
      <c r="A186" s="35"/>
      <c r="C186" s="13"/>
      <c r="I186" s="23"/>
      <c r="J186" s="29" t="str">
        <f t="shared" si="1"/>
        <v/>
      </c>
      <c r="L186" s="71"/>
      <c r="M186" s="71"/>
      <c r="N186" s="71"/>
      <c r="O186" s="71"/>
      <c r="P186" s="71" t="str">
        <f>IFERROR(INDEX(RECICLADORES!C:C,MATCH(D186,RECICLADORES!B:B,0)),"")</f>
        <v/>
      </c>
      <c r="Q186" s="71" t="str">
        <f>IFERROR(INDEX(RECICLADORES!O:O,MATCH(D186,RECICLADORES!B:B,0)),"")</f>
        <v/>
      </c>
      <c r="R186" s="65"/>
      <c r="S186" s="65"/>
      <c r="T186" s="71"/>
      <c r="U186" s="71"/>
      <c r="V186" s="86"/>
    </row>
    <row r="187" spans="1:22" ht="18" customHeight="1" thickTop="1" thickBot="1" x14ac:dyDescent="0.3">
      <c r="A187" s="34"/>
      <c r="C187" s="13"/>
      <c r="I187" s="23"/>
      <c r="J187" s="29" t="str">
        <f t="shared" si="1"/>
        <v/>
      </c>
      <c r="L187" s="71"/>
      <c r="M187" s="71"/>
      <c r="N187" s="71"/>
      <c r="O187" s="71"/>
      <c r="P187" s="71" t="str">
        <f>IFERROR(INDEX(RECICLADORES!C:C,MATCH(D187,RECICLADORES!B:B,0)),"")</f>
        <v/>
      </c>
      <c r="Q187" s="71" t="str">
        <f>IFERROR(INDEX(RECICLADORES!O:O,MATCH(D187,RECICLADORES!B:B,0)),"")</f>
        <v/>
      </c>
      <c r="R187" s="65"/>
      <c r="S187" s="65"/>
      <c r="T187" s="71"/>
      <c r="U187" s="71"/>
      <c r="V187" s="86"/>
    </row>
    <row r="188" spans="1:22" ht="18" customHeight="1" thickTop="1" thickBot="1" x14ac:dyDescent="0.3">
      <c r="A188" s="35"/>
      <c r="C188" s="13"/>
      <c r="I188"/>
      <c r="J188" s="29" t="str">
        <f t="shared" si="1"/>
        <v/>
      </c>
      <c r="L188" s="71"/>
      <c r="M188" s="71"/>
      <c r="N188" s="71"/>
      <c r="O188" s="71"/>
      <c r="P188" s="71" t="str">
        <f>IFERROR(INDEX(RECICLADORES!C:C,MATCH(D188,RECICLADORES!B:B,0)),"")</f>
        <v/>
      </c>
      <c r="Q188" s="71" t="str">
        <f>IFERROR(INDEX(RECICLADORES!O:O,MATCH(D188,RECICLADORES!B:B,0)),"")</f>
        <v/>
      </c>
      <c r="R188" s="65"/>
      <c r="S188" s="65"/>
      <c r="T188" s="71"/>
      <c r="U188" s="71"/>
      <c r="V188" s="86"/>
    </row>
    <row r="189" spans="1:22" ht="18" customHeight="1" thickTop="1" thickBot="1" x14ac:dyDescent="0.3">
      <c r="A189" s="34"/>
      <c r="C189" s="13"/>
      <c r="I189"/>
      <c r="J189" s="29" t="str">
        <f t="shared" si="1"/>
        <v/>
      </c>
      <c r="L189" s="71"/>
      <c r="M189" s="71"/>
      <c r="N189" s="71"/>
      <c r="O189" s="71"/>
      <c r="P189" s="71" t="str">
        <f>IFERROR(INDEX(RECICLADORES!C:C,MATCH(D189,RECICLADORES!B:B,0)),"")</f>
        <v/>
      </c>
      <c r="Q189" s="71" t="str">
        <f>IFERROR(INDEX(RECICLADORES!O:O,MATCH(D189,RECICLADORES!B:B,0)),"")</f>
        <v/>
      </c>
      <c r="R189" s="65"/>
      <c r="S189" s="65"/>
      <c r="T189" s="71"/>
      <c r="U189" s="71"/>
      <c r="V189" s="86"/>
    </row>
    <row r="190" spans="1:22" ht="18" customHeight="1" thickTop="1" thickBot="1" x14ac:dyDescent="0.3">
      <c r="A190" s="35"/>
      <c r="C190" s="13"/>
      <c r="I190"/>
      <c r="J190" s="29" t="str">
        <f t="shared" si="1"/>
        <v/>
      </c>
      <c r="L190" s="71"/>
      <c r="M190" s="71"/>
      <c r="N190" s="71"/>
      <c r="O190" s="71"/>
      <c r="P190" s="71" t="str">
        <f>IFERROR(INDEX(RECICLADORES!C:C,MATCH(D190,RECICLADORES!B:B,0)),"")</f>
        <v/>
      </c>
      <c r="Q190" s="71" t="str">
        <f>IFERROR(INDEX(RECICLADORES!O:O,MATCH(D190,RECICLADORES!B:B,0)),"")</f>
        <v/>
      </c>
      <c r="R190" s="65"/>
      <c r="S190" s="65"/>
      <c r="T190" s="71"/>
      <c r="U190" s="71"/>
      <c r="V190" s="86"/>
    </row>
    <row r="191" spans="1:22" ht="18" customHeight="1" thickTop="1" thickBot="1" x14ac:dyDescent="0.3">
      <c r="A191" s="34"/>
      <c r="C191" s="13"/>
      <c r="I191"/>
      <c r="J191" s="29" t="str">
        <f t="shared" si="1"/>
        <v/>
      </c>
      <c r="L191" s="71"/>
      <c r="M191" s="71"/>
      <c r="N191" s="71"/>
      <c r="O191" s="71"/>
      <c r="P191" s="71" t="str">
        <f>IFERROR(INDEX(RECICLADORES!C:C,MATCH(D191,RECICLADORES!B:B,0)),"")</f>
        <v/>
      </c>
      <c r="Q191" s="71" t="str">
        <f>IFERROR(INDEX(RECICLADORES!O:O,MATCH(D191,RECICLADORES!B:B,0)),"")</f>
        <v/>
      </c>
      <c r="R191" s="65"/>
      <c r="S191" s="65"/>
      <c r="T191" s="71"/>
      <c r="U191" s="71"/>
      <c r="V191" s="86"/>
    </row>
    <row r="192" spans="1:22" ht="18" customHeight="1" thickTop="1" thickBot="1" x14ac:dyDescent="0.3">
      <c r="A192" s="35"/>
      <c r="C192" s="13"/>
      <c r="I192"/>
      <c r="J192" s="29" t="str">
        <f t="shared" si="1"/>
        <v/>
      </c>
      <c r="L192" s="71"/>
      <c r="M192" s="71"/>
      <c r="N192" s="71"/>
      <c r="O192" s="71"/>
      <c r="P192" s="71" t="str">
        <f>IFERROR(INDEX(RECICLADORES!C:C,MATCH(D192,RECICLADORES!B:B,0)),"")</f>
        <v/>
      </c>
      <c r="Q192" s="71" t="str">
        <f>IFERROR(INDEX(RECICLADORES!O:O,MATCH(D192,RECICLADORES!B:B,0)),"")</f>
        <v/>
      </c>
      <c r="R192" s="65"/>
      <c r="S192" s="65"/>
      <c r="T192" s="71"/>
      <c r="U192" s="71"/>
      <c r="V192" s="86"/>
    </row>
    <row r="193" spans="1:22" ht="18" customHeight="1" thickTop="1" thickBot="1" x14ac:dyDescent="0.3">
      <c r="A193" s="35"/>
      <c r="C193" s="13"/>
      <c r="I193"/>
      <c r="J193" s="29" t="str">
        <f t="shared" si="1"/>
        <v/>
      </c>
      <c r="L193" s="71"/>
      <c r="M193" s="71"/>
      <c r="N193" s="71"/>
      <c r="O193" s="71"/>
      <c r="P193" s="71" t="str">
        <f>IFERROR(INDEX(RECICLADORES!C:C,MATCH(D193,RECICLADORES!B:B,0)),"")</f>
        <v/>
      </c>
      <c r="Q193" s="71" t="str">
        <f>IFERROR(INDEX(RECICLADORES!O:O,MATCH(D193,RECICLADORES!B:B,0)),"")</f>
        <v/>
      </c>
      <c r="R193" s="65"/>
      <c r="S193" s="65"/>
      <c r="T193" s="71"/>
      <c r="U193" s="71"/>
      <c r="V193" s="86"/>
    </row>
    <row r="194" spans="1:22" ht="18" customHeight="1" thickTop="1" thickBot="1" x14ac:dyDescent="0.3">
      <c r="A194" s="34"/>
      <c r="C194" s="13"/>
      <c r="I194"/>
      <c r="J194" s="29" t="str">
        <f t="shared" si="1"/>
        <v/>
      </c>
      <c r="L194" s="71"/>
      <c r="M194" s="71"/>
      <c r="N194" s="71"/>
      <c r="O194" s="71"/>
      <c r="P194" s="71" t="str">
        <f>IFERROR(INDEX(RECICLADORES!C:C,MATCH(D194,RECICLADORES!B:B,0)),"")</f>
        <v/>
      </c>
      <c r="Q194" s="71" t="str">
        <f>IFERROR(INDEX(RECICLADORES!O:O,MATCH(D194,RECICLADORES!B:B,0)),"")</f>
        <v/>
      </c>
      <c r="R194" s="65"/>
      <c r="S194" s="65"/>
      <c r="T194" s="71"/>
      <c r="U194" s="71"/>
      <c r="V194" s="86"/>
    </row>
    <row r="195" spans="1:22" ht="18" customHeight="1" thickTop="1" thickBot="1" x14ac:dyDescent="0.3">
      <c r="A195" s="35"/>
      <c r="C195" s="13"/>
      <c r="I195"/>
      <c r="J195" s="29" t="str">
        <f t="shared" si="1"/>
        <v/>
      </c>
      <c r="L195" s="71"/>
      <c r="M195" s="71"/>
      <c r="N195" s="71"/>
      <c r="O195" s="71"/>
      <c r="P195" s="71" t="str">
        <f>IFERROR(INDEX(RECICLADORES!C:C,MATCH(D195,RECICLADORES!B:B,0)),"")</f>
        <v/>
      </c>
      <c r="Q195" s="71" t="str">
        <f>IFERROR(INDEX(RECICLADORES!O:O,MATCH(D195,RECICLADORES!B:B,0)),"")</f>
        <v/>
      </c>
      <c r="R195" s="65"/>
      <c r="S195" s="65"/>
      <c r="T195" s="71"/>
      <c r="U195" s="71"/>
      <c r="V195" s="86"/>
    </row>
    <row r="196" spans="1:22" ht="18" customHeight="1" thickTop="1" thickBot="1" x14ac:dyDescent="0.3">
      <c r="A196" s="34"/>
      <c r="C196" s="13"/>
      <c r="I196"/>
      <c r="J196" s="29" t="str">
        <f t="shared" si="1"/>
        <v/>
      </c>
      <c r="L196" s="71"/>
      <c r="M196" s="71"/>
      <c r="N196" s="71"/>
      <c r="O196" s="71"/>
      <c r="P196" s="71" t="str">
        <f>IFERROR(INDEX(RECICLADORES!C:C,MATCH(D196,RECICLADORES!B:B,0)),"")</f>
        <v/>
      </c>
      <c r="Q196" s="71" t="str">
        <f>IFERROR(INDEX(RECICLADORES!O:O,MATCH(D196,RECICLADORES!B:B,0)),"")</f>
        <v/>
      </c>
      <c r="R196" s="65"/>
      <c r="S196" s="65"/>
      <c r="T196" s="71"/>
      <c r="U196" s="71"/>
      <c r="V196" s="86"/>
    </row>
    <row r="197" spans="1:22" ht="18" customHeight="1" thickTop="1" thickBot="1" x14ac:dyDescent="0.3">
      <c r="A197" s="35"/>
      <c r="C197" s="13"/>
      <c r="I197"/>
      <c r="J197" s="29" t="str">
        <f t="shared" si="1"/>
        <v/>
      </c>
      <c r="L197" s="71"/>
      <c r="M197" s="71"/>
      <c r="N197" s="71"/>
      <c r="O197" s="71"/>
      <c r="P197" s="71" t="str">
        <f>IFERROR(INDEX(RECICLADORES!C:C,MATCH(D197,RECICLADORES!B:B,0)),"")</f>
        <v/>
      </c>
      <c r="Q197" s="71" t="str">
        <f>IFERROR(INDEX(RECICLADORES!O:O,MATCH(D197,RECICLADORES!B:B,0)),"")</f>
        <v/>
      </c>
      <c r="R197" s="65"/>
      <c r="S197" s="65"/>
      <c r="T197" s="71"/>
      <c r="U197" s="71"/>
      <c r="V197" s="86"/>
    </row>
    <row r="198" spans="1:22" ht="18" customHeight="1" thickTop="1" thickBot="1" x14ac:dyDescent="0.3">
      <c r="A198" s="34"/>
      <c r="C198" s="13"/>
      <c r="I198"/>
      <c r="J198" s="29" t="str">
        <f t="shared" si="1"/>
        <v/>
      </c>
      <c r="L198" s="71"/>
      <c r="M198" s="71"/>
      <c r="N198" s="71"/>
      <c r="O198" s="71"/>
      <c r="P198" s="71" t="str">
        <f>IFERROR(INDEX(RECICLADORES!C:C,MATCH(D198,RECICLADORES!B:B,0)),"")</f>
        <v/>
      </c>
      <c r="Q198" s="71" t="str">
        <f>IFERROR(INDEX(RECICLADORES!O:O,MATCH(D198,RECICLADORES!B:B,0)),"")</f>
        <v/>
      </c>
      <c r="R198" s="65"/>
      <c r="S198" s="65"/>
      <c r="T198" s="71"/>
      <c r="U198" s="71"/>
      <c r="V198" s="86"/>
    </row>
    <row r="199" spans="1:22" ht="18" customHeight="1" thickTop="1" thickBot="1" x14ac:dyDescent="0.3">
      <c r="A199" s="35"/>
      <c r="C199" s="13"/>
      <c r="I199"/>
      <c r="J199" s="29" t="str">
        <f t="shared" si="1"/>
        <v/>
      </c>
      <c r="L199" s="71"/>
      <c r="M199" s="71"/>
      <c r="N199" s="71"/>
      <c r="O199" s="71"/>
      <c r="P199" s="71" t="str">
        <f>IFERROR(INDEX(RECICLADORES!C:C,MATCH(D199,RECICLADORES!B:B,0)),"")</f>
        <v/>
      </c>
      <c r="Q199" s="71" t="str">
        <f>IFERROR(INDEX(RECICLADORES!O:O,MATCH(D199,RECICLADORES!B:B,0)),"")</f>
        <v/>
      </c>
      <c r="R199" s="65"/>
      <c r="S199" s="65"/>
      <c r="T199" s="71"/>
      <c r="U199" s="71"/>
      <c r="V199" s="86"/>
    </row>
    <row r="200" spans="1:22" ht="18" customHeight="1" thickTop="1" thickBot="1" x14ac:dyDescent="0.3">
      <c r="A200" s="34"/>
      <c r="C200" s="13"/>
      <c r="I200"/>
      <c r="J200" s="29" t="str">
        <f t="shared" si="1"/>
        <v/>
      </c>
      <c r="L200" s="71"/>
      <c r="M200" s="71"/>
      <c r="N200" s="71"/>
      <c r="O200" s="71"/>
      <c r="P200" s="71" t="str">
        <f>IFERROR(INDEX(RECICLADORES!C:C,MATCH(D200,RECICLADORES!B:B,0)),"")</f>
        <v/>
      </c>
      <c r="Q200" s="71" t="str">
        <f>IFERROR(INDEX(RECICLADORES!O:O,MATCH(D200,RECICLADORES!B:B,0)),"")</f>
        <v/>
      </c>
      <c r="R200" s="65"/>
      <c r="S200" s="65"/>
      <c r="T200" s="71"/>
      <c r="U200" s="71"/>
      <c r="V200" s="86"/>
    </row>
    <row r="201" spans="1:22" ht="18" customHeight="1" thickTop="1" thickBot="1" x14ac:dyDescent="0.3">
      <c r="A201" s="35"/>
      <c r="C201" s="13"/>
      <c r="I201"/>
      <c r="J201" s="29" t="str">
        <f t="shared" si="1"/>
        <v/>
      </c>
      <c r="L201" s="71"/>
      <c r="M201" s="71"/>
      <c r="N201" s="71"/>
      <c r="O201" s="71"/>
      <c r="P201" s="71" t="str">
        <f>IFERROR(INDEX(RECICLADORES!C:C,MATCH(D201,RECICLADORES!B:B,0)),"")</f>
        <v/>
      </c>
      <c r="Q201" s="71" t="str">
        <f>IFERROR(INDEX(RECICLADORES!O:O,MATCH(D201,RECICLADORES!B:B,0)),"")</f>
        <v/>
      </c>
      <c r="R201" s="65"/>
      <c r="S201" s="65"/>
      <c r="T201" s="71"/>
      <c r="U201" s="71"/>
      <c r="V201" s="86"/>
    </row>
    <row r="202" spans="1:22" ht="16.5" thickTop="1" thickBot="1" x14ac:dyDescent="0.3">
      <c r="A202" s="34"/>
      <c r="C202" s="13"/>
      <c r="I202"/>
      <c r="J202" s="29" t="str">
        <f t="shared" si="1"/>
        <v/>
      </c>
      <c r="L202" s="71"/>
      <c r="M202" s="71"/>
      <c r="N202" s="71"/>
      <c r="O202" s="71"/>
      <c r="P202" s="71" t="str">
        <f>IFERROR(INDEX(RECICLADORES!C:C,MATCH(D202,RECICLADORES!B:B,0)),"")</f>
        <v/>
      </c>
      <c r="Q202" s="71" t="str">
        <f>IFERROR(INDEX(RECICLADORES!O:O,MATCH(D202,RECICLADORES!B:B,0)),"")</f>
        <v/>
      </c>
      <c r="R202" s="65"/>
      <c r="S202" s="65"/>
      <c r="T202" s="71"/>
      <c r="U202" s="71"/>
      <c r="V202" s="86"/>
    </row>
    <row r="203" spans="1:22" ht="16.5" thickTop="1" thickBot="1" x14ac:dyDescent="0.3">
      <c r="A203" s="35"/>
      <c r="C203" s="13"/>
      <c r="I203"/>
      <c r="J203" s="29" t="str">
        <f t="shared" si="1"/>
        <v/>
      </c>
      <c r="L203" s="71"/>
      <c r="M203" s="71"/>
      <c r="N203" s="71"/>
      <c r="O203" s="71"/>
      <c r="P203" s="71" t="str">
        <f>IFERROR(INDEX(RECICLADORES!C:C,MATCH(D203,RECICLADORES!B:B,0)),"")</f>
        <v/>
      </c>
      <c r="Q203" s="71" t="str">
        <f>IFERROR(INDEX(RECICLADORES!O:O,MATCH(D203,RECICLADORES!B:B,0)),"")</f>
        <v/>
      </c>
      <c r="R203" s="65"/>
      <c r="S203" s="65"/>
      <c r="T203" s="71"/>
      <c r="U203" s="71"/>
      <c r="V203" s="86"/>
    </row>
    <row r="204" spans="1:22" ht="16.5" thickTop="1" thickBot="1" x14ac:dyDescent="0.3">
      <c r="A204" s="34"/>
      <c r="C204" s="13"/>
      <c r="I204"/>
      <c r="J204" s="29" t="str">
        <f t="shared" si="1"/>
        <v/>
      </c>
      <c r="L204" s="71"/>
      <c r="M204" s="71"/>
      <c r="N204" s="71"/>
      <c r="O204" s="71"/>
      <c r="P204" s="71" t="str">
        <f>IFERROR(INDEX(RECICLADORES!C:C,MATCH(D204,RECICLADORES!B:B,0)),"")</f>
        <v/>
      </c>
      <c r="Q204" s="71" t="str">
        <f>IFERROR(INDEX(RECICLADORES!O:O,MATCH(D204,RECICLADORES!B:B,0)),"")</f>
        <v/>
      </c>
      <c r="R204" s="65"/>
      <c r="S204" s="65"/>
      <c r="T204" s="71"/>
      <c r="U204" s="71"/>
      <c r="V204" s="86"/>
    </row>
    <row r="205" spans="1:22" ht="16.5" thickTop="1" thickBot="1" x14ac:dyDescent="0.3">
      <c r="A205" s="35"/>
      <c r="C205" s="13"/>
      <c r="I205"/>
      <c r="J205" s="29" t="str">
        <f t="shared" si="1"/>
        <v/>
      </c>
      <c r="L205" s="71"/>
      <c r="M205" s="71"/>
      <c r="N205" s="71"/>
      <c r="O205" s="71"/>
      <c r="P205" s="71" t="str">
        <f>IFERROR(INDEX(RECICLADORES!C:C,MATCH(D205,RECICLADORES!B:B,0)),"")</f>
        <v/>
      </c>
      <c r="Q205" s="71" t="str">
        <f>IFERROR(INDEX(RECICLADORES!O:O,MATCH(D205,RECICLADORES!B:B,0)),"")</f>
        <v/>
      </c>
      <c r="R205" s="65"/>
      <c r="S205" s="65"/>
      <c r="T205" s="71"/>
      <c r="U205" s="71"/>
      <c r="V205" s="86"/>
    </row>
    <row r="206" spans="1:22" ht="16.5" thickTop="1" thickBot="1" x14ac:dyDescent="0.3">
      <c r="A206" s="34"/>
      <c r="C206" s="13"/>
      <c r="I206"/>
      <c r="J206" s="29" t="str">
        <f t="shared" si="1"/>
        <v/>
      </c>
      <c r="L206" s="71"/>
      <c r="M206" s="71"/>
      <c r="N206" s="71"/>
      <c r="O206" s="71"/>
      <c r="P206" s="71" t="str">
        <f>IFERROR(INDEX(RECICLADORES!C:C,MATCH(D206,RECICLADORES!B:B,0)),"")</f>
        <v/>
      </c>
      <c r="Q206" s="71" t="str">
        <f>IFERROR(INDEX(RECICLADORES!O:O,MATCH(D206,RECICLADORES!B:B,0)),"")</f>
        <v/>
      </c>
      <c r="R206" s="65"/>
      <c r="S206" s="65"/>
      <c r="T206" s="71"/>
      <c r="U206" s="71"/>
      <c r="V206" s="86"/>
    </row>
    <row r="207" spans="1:22" ht="16.5" thickTop="1" thickBot="1" x14ac:dyDescent="0.3">
      <c r="A207" s="35"/>
      <c r="C207" s="13"/>
      <c r="I207"/>
      <c r="J207" s="29" t="str">
        <f t="shared" si="1"/>
        <v/>
      </c>
      <c r="L207" s="71"/>
      <c r="M207" s="71"/>
      <c r="N207" s="71"/>
      <c r="O207" s="71"/>
      <c r="P207" s="71" t="str">
        <f>IFERROR(INDEX(RECICLADORES!C:C,MATCH(D207,RECICLADORES!B:B,0)),"")</f>
        <v/>
      </c>
      <c r="Q207" s="71" t="str">
        <f>IFERROR(INDEX(RECICLADORES!O:O,MATCH(D207,RECICLADORES!B:B,0)),"")</f>
        <v/>
      </c>
      <c r="R207" s="65"/>
      <c r="S207" s="65"/>
      <c r="T207" s="71"/>
      <c r="U207" s="71"/>
      <c r="V207" s="86"/>
    </row>
    <row r="208" spans="1:22" ht="16.5" thickTop="1" thickBot="1" x14ac:dyDescent="0.3">
      <c r="A208" s="34"/>
      <c r="C208" s="13"/>
      <c r="I208"/>
      <c r="J208" s="29" t="str">
        <f t="shared" si="1"/>
        <v/>
      </c>
      <c r="L208" s="71"/>
      <c r="M208" s="71"/>
      <c r="N208" s="71"/>
      <c r="O208" s="71"/>
      <c r="P208" s="71" t="str">
        <f>IFERROR(INDEX(RECICLADORES!C:C,MATCH(D208,RECICLADORES!B:B,0)),"")</f>
        <v/>
      </c>
      <c r="Q208" s="71" t="str">
        <f>IFERROR(INDEX(RECICLADORES!O:O,MATCH(D208,RECICLADORES!B:B,0)),"")</f>
        <v/>
      </c>
      <c r="R208" s="65"/>
      <c r="S208" s="65"/>
      <c r="T208" s="71"/>
      <c r="U208" s="71"/>
      <c r="V208" s="86"/>
    </row>
    <row r="209" spans="1:22" ht="16.5" thickTop="1" thickBot="1" x14ac:dyDescent="0.3">
      <c r="A209" s="35"/>
      <c r="C209" s="13"/>
      <c r="I209"/>
      <c r="J209" s="29" t="str">
        <f t="shared" si="1"/>
        <v/>
      </c>
      <c r="L209" s="71"/>
      <c r="M209" s="71"/>
      <c r="N209" s="71"/>
      <c r="O209" s="71"/>
      <c r="P209" s="71" t="str">
        <f>IFERROR(INDEX(RECICLADORES!C:C,MATCH(D209,RECICLADORES!B:B,0)),"")</f>
        <v/>
      </c>
      <c r="Q209" s="71" t="str">
        <f>IFERROR(INDEX(RECICLADORES!O:O,MATCH(D209,RECICLADORES!B:B,0)),"")</f>
        <v/>
      </c>
      <c r="R209" s="65"/>
      <c r="S209" s="65"/>
      <c r="T209" s="71"/>
      <c r="U209" s="71"/>
      <c r="V209" s="86"/>
    </row>
    <row r="210" spans="1:22" ht="16.5" thickTop="1" thickBot="1" x14ac:dyDescent="0.3">
      <c r="A210" s="34"/>
      <c r="C210" s="13"/>
      <c r="I210"/>
      <c r="J210" s="29" t="str">
        <f t="shared" si="1"/>
        <v/>
      </c>
      <c r="L210" s="71"/>
      <c r="M210" s="71"/>
      <c r="N210" s="71"/>
      <c r="O210" s="71"/>
      <c r="P210" s="71" t="str">
        <f>IFERROR(INDEX(RECICLADORES!C:C,MATCH(D210,RECICLADORES!B:B,0)),"")</f>
        <v/>
      </c>
      <c r="Q210" s="71" t="str">
        <f>IFERROR(INDEX(RECICLADORES!O:O,MATCH(D210,RECICLADORES!B:B,0)),"")</f>
        <v/>
      </c>
      <c r="R210" s="65"/>
      <c r="S210" s="65"/>
      <c r="T210" s="71"/>
      <c r="U210" s="71"/>
      <c r="V210" s="86"/>
    </row>
    <row r="211" spans="1:22" ht="16.5" thickTop="1" thickBot="1" x14ac:dyDescent="0.3">
      <c r="A211" s="35"/>
      <c r="C211" s="13"/>
      <c r="I211"/>
      <c r="J211" s="29" t="str">
        <f t="shared" si="1"/>
        <v/>
      </c>
      <c r="L211" s="71"/>
      <c r="M211" s="71"/>
      <c r="N211" s="71"/>
      <c r="O211" s="71"/>
      <c r="P211" s="71" t="str">
        <f>IFERROR(INDEX(RECICLADORES!C:C,MATCH(D211,RECICLADORES!B:B,0)),"")</f>
        <v/>
      </c>
      <c r="Q211" s="71" t="str">
        <f>IFERROR(INDEX(RECICLADORES!O:O,MATCH(D211,RECICLADORES!B:B,0)),"")</f>
        <v/>
      </c>
      <c r="R211" s="65"/>
      <c r="S211" s="65"/>
      <c r="T211" s="71"/>
      <c r="U211" s="71"/>
      <c r="V211" s="86"/>
    </row>
    <row r="212" spans="1:22" ht="16.5" thickTop="1" thickBot="1" x14ac:dyDescent="0.3">
      <c r="A212" s="34"/>
      <c r="C212" s="13"/>
      <c r="I212"/>
      <c r="J212" s="29" t="str">
        <f t="shared" si="1"/>
        <v/>
      </c>
      <c r="L212" s="71"/>
      <c r="M212" s="71"/>
      <c r="N212" s="71"/>
      <c r="O212" s="71"/>
      <c r="P212" s="71" t="str">
        <f>IFERROR(INDEX(RECICLADORES!C:C,MATCH(D212,RECICLADORES!B:B,0)),"")</f>
        <v/>
      </c>
      <c r="Q212" s="71" t="str">
        <f>IFERROR(INDEX(RECICLADORES!O:O,MATCH(D212,RECICLADORES!B:B,0)),"")</f>
        <v/>
      </c>
      <c r="R212" s="65"/>
      <c r="S212" s="65"/>
      <c r="T212" s="71"/>
      <c r="U212" s="71"/>
      <c r="V212" s="86"/>
    </row>
    <row r="213" spans="1:22" ht="16.5" thickTop="1" thickBot="1" x14ac:dyDescent="0.3">
      <c r="A213" s="35"/>
      <c r="C213" s="13"/>
      <c r="I213"/>
      <c r="J213" s="29" t="str">
        <f t="shared" si="1"/>
        <v/>
      </c>
      <c r="L213" s="71"/>
      <c r="M213" s="71"/>
      <c r="N213" s="71"/>
      <c r="O213" s="71"/>
      <c r="P213" s="71" t="str">
        <f>IFERROR(INDEX(RECICLADORES!C:C,MATCH(D213,RECICLADORES!B:B,0)),"")</f>
        <v/>
      </c>
      <c r="Q213" s="71" t="str">
        <f>IFERROR(INDEX(RECICLADORES!O:O,MATCH(D213,RECICLADORES!B:B,0)),"")</f>
        <v/>
      </c>
      <c r="R213" s="65"/>
      <c r="S213" s="65"/>
      <c r="T213" s="71"/>
      <c r="U213" s="71"/>
      <c r="V213" s="86"/>
    </row>
    <row r="214" spans="1:22" ht="16.5" thickTop="1" thickBot="1" x14ac:dyDescent="0.3">
      <c r="A214" s="34"/>
      <c r="C214" s="13"/>
      <c r="I214"/>
      <c r="J214" s="29" t="str">
        <f t="shared" si="1"/>
        <v/>
      </c>
      <c r="L214" s="71"/>
      <c r="M214" s="71"/>
      <c r="N214" s="71"/>
      <c r="O214" s="71"/>
      <c r="P214" s="71" t="str">
        <f>IFERROR(INDEX(RECICLADORES!C:C,MATCH(D214,RECICLADORES!B:B,0)),"")</f>
        <v/>
      </c>
      <c r="Q214" s="71" t="str">
        <f>IFERROR(INDEX(RECICLADORES!O:O,MATCH(D214,RECICLADORES!B:B,0)),"")</f>
        <v/>
      </c>
      <c r="R214" s="65"/>
      <c r="S214" s="65"/>
      <c r="T214" s="71"/>
      <c r="U214" s="71"/>
      <c r="V214" s="86"/>
    </row>
    <row r="215" spans="1:22" ht="16.5" thickTop="1" thickBot="1" x14ac:dyDescent="0.3">
      <c r="A215" s="35"/>
      <c r="C215" s="13"/>
      <c r="I215"/>
      <c r="J215" s="29" t="str">
        <f t="shared" si="1"/>
        <v/>
      </c>
      <c r="L215" s="71"/>
      <c r="M215" s="71"/>
      <c r="N215" s="71"/>
      <c r="O215" s="71"/>
      <c r="P215" s="71" t="str">
        <f>IFERROR(INDEX(RECICLADORES!C:C,MATCH(D215,RECICLADORES!B:B,0)),"")</f>
        <v/>
      </c>
      <c r="Q215" s="71" t="str">
        <f>IFERROR(INDEX(RECICLADORES!O:O,MATCH(D215,RECICLADORES!B:B,0)),"")</f>
        <v/>
      </c>
      <c r="R215" s="65"/>
      <c r="S215" s="65"/>
      <c r="T215" s="71"/>
      <c r="U215" s="71"/>
      <c r="V215" s="86"/>
    </row>
    <row r="216" spans="1:22" ht="16.5" thickTop="1" thickBot="1" x14ac:dyDescent="0.3">
      <c r="A216" s="34"/>
      <c r="C216" s="13"/>
      <c r="I216"/>
      <c r="J216" s="29" t="str">
        <f t="shared" si="1"/>
        <v/>
      </c>
      <c r="L216" s="71"/>
      <c r="M216" s="71"/>
      <c r="N216" s="71"/>
      <c r="O216" s="71"/>
      <c r="P216" s="71" t="str">
        <f>IFERROR(INDEX(RECICLADORES!C:C,MATCH(D216,RECICLADORES!B:B,0)),"")</f>
        <v/>
      </c>
      <c r="Q216" s="71" t="str">
        <f>IFERROR(INDEX(RECICLADORES!O:O,MATCH(D216,RECICLADORES!B:B,0)),"")</f>
        <v/>
      </c>
      <c r="R216" s="65"/>
      <c r="S216" s="65"/>
      <c r="T216" s="71"/>
      <c r="U216" s="71"/>
      <c r="V216" s="86"/>
    </row>
    <row r="217" spans="1:22" ht="16.5" thickTop="1" thickBot="1" x14ac:dyDescent="0.3">
      <c r="A217" s="35"/>
      <c r="C217" s="13"/>
      <c r="I217"/>
      <c r="J217" s="29" t="str">
        <f t="shared" si="1"/>
        <v/>
      </c>
      <c r="L217" s="71"/>
      <c r="M217" s="71"/>
      <c r="N217" s="71"/>
      <c r="O217" s="71"/>
      <c r="P217" s="71" t="str">
        <f>IFERROR(INDEX(RECICLADORES!C:C,MATCH(D217,RECICLADORES!B:B,0)),"")</f>
        <v/>
      </c>
      <c r="Q217" s="71" t="str">
        <f>IFERROR(INDEX(RECICLADORES!O:O,MATCH(D217,RECICLADORES!B:B,0)),"")</f>
        <v/>
      </c>
      <c r="R217" s="65"/>
      <c r="S217" s="65"/>
      <c r="T217" s="71"/>
      <c r="U217" s="71"/>
      <c r="V217" s="86"/>
    </row>
    <row r="218" spans="1:22" ht="16.5" thickTop="1" thickBot="1" x14ac:dyDescent="0.3">
      <c r="A218" s="34"/>
      <c r="C218" s="13"/>
      <c r="I218"/>
      <c r="J218" s="29" t="str">
        <f t="shared" si="1"/>
        <v/>
      </c>
      <c r="L218" s="71"/>
      <c r="M218" s="71"/>
      <c r="N218" s="71"/>
      <c r="O218" s="71"/>
      <c r="P218" s="71" t="str">
        <f>IFERROR(INDEX(RECICLADORES!C:C,MATCH(D218,RECICLADORES!B:B,0)),"")</f>
        <v/>
      </c>
      <c r="Q218" s="71" t="str">
        <f>IFERROR(INDEX(RECICLADORES!O:O,MATCH(D218,RECICLADORES!B:B,0)),"")</f>
        <v/>
      </c>
      <c r="R218" s="65"/>
      <c r="S218" s="65"/>
      <c r="T218" s="71"/>
      <c r="U218" s="71"/>
      <c r="V218" s="86"/>
    </row>
    <row r="219" spans="1:22" ht="16.5" thickTop="1" thickBot="1" x14ac:dyDescent="0.3">
      <c r="A219" s="35"/>
      <c r="C219" s="13"/>
      <c r="I219"/>
      <c r="J219" s="29" t="str">
        <f t="shared" si="1"/>
        <v/>
      </c>
      <c r="L219" s="71"/>
      <c r="M219" s="71"/>
      <c r="N219" s="71"/>
      <c r="O219" s="71"/>
      <c r="P219" s="71" t="str">
        <f>IFERROR(INDEX(RECICLADORES!C:C,MATCH(D219,RECICLADORES!B:B,0)),"")</f>
        <v/>
      </c>
      <c r="Q219" s="71" t="str">
        <f>IFERROR(INDEX(RECICLADORES!O:O,MATCH(D219,RECICLADORES!B:B,0)),"")</f>
        <v/>
      </c>
      <c r="R219" s="65"/>
      <c r="S219" s="65"/>
      <c r="T219" s="71"/>
      <c r="U219" s="71"/>
      <c r="V219" s="86"/>
    </row>
    <row r="220" spans="1:22" ht="16.5" thickTop="1" thickBot="1" x14ac:dyDescent="0.3">
      <c r="A220" s="34"/>
      <c r="C220" s="13"/>
      <c r="I220"/>
      <c r="J220" s="29" t="str">
        <f t="shared" si="1"/>
        <v/>
      </c>
      <c r="L220" s="71"/>
      <c r="M220" s="71"/>
      <c r="N220" s="71"/>
      <c r="O220" s="71"/>
      <c r="P220" s="71" t="str">
        <f>IFERROR(INDEX(RECICLADORES!C:C,MATCH(D220,RECICLADORES!B:B,0)),"")</f>
        <v/>
      </c>
      <c r="Q220" s="71" t="str">
        <f>IFERROR(INDEX(RECICLADORES!O:O,MATCH(D220,RECICLADORES!B:B,0)),"")</f>
        <v/>
      </c>
      <c r="R220" s="65"/>
      <c r="S220" s="65"/>
      <c r="T220" s="71"/>
      <c r="U220" s="71"/>
      <c r="V220" s="86"/>
    </row>
    <row r="221" spans="1:22" ht="16.5" thickTop="1" thickBot="1" x14ac:dyDescent="0.3">
      <c r="A221" s="35"/>
      <c r="C221" s="13"/>
      <c r="I221"/>
      <c r="J221" s="29" t="str">
        <f t="shared" si="1"/>
        <v/>
      </c>
      <c r="L221" s="71"/>
      <c r="M221" s="71"/>
      <c r="N221" s="71"/>
      <c r="O221" s="71"/>
      <c r="P221" s="71" t="str">
        <f>IFERROR(INDEX(RECICLADORES!C:C,MATCH(D221,RECICLADORES!B:B,0)),"")</f>
        <v/>
      </c>
      <c r="Q221" s="71" t="str">
        <f>IFERROR(INDEX(RECICLADORES!O:O,MATCH(D221,RECICLADORES!B:B,0)),"")</f>
        <v/>
      </c>
      <c r="R221" s="65"/>
      <c r="S221" s="65"/>
      <c r="T221" s="71"/>
      <c r="U221" s="71"/>
      <c r="V221" s="86"/>
    </row>
    <row r="222" spans="1:22" ht="16.5" thickTop="1" thickBot="1" x14ac:dyDescent="0.3">
      <c r="A222" s="35"/>
      <c r="C222" s="13"/>
      <c r="I222"/>
      <c r="J222" s="29" t="str">
        <f t="shared" si="1"/>
        <v/>
      </c>
      <c r="L222" s="71"/>
      <c r="M222" s="71"/>
      <c r="N222" s="71"/>
      <c r="O222" s="71"/>
      <c r="P222" s="71" t="str">
        <f>IFERROR(INDEX(RECICLADORES!C:C,MATCH(D222,RECICLADORES!B:B,0)),"")</f>
        <v/>
      </c>
      <c r="Q222" s="71" t="str">
        <f>IFERROR(INDEX(RECICLADORES!O:O,MATCH(D222,RECICLADORES!B:B,0)),"")</f>
        <v/>
      </c>
      <c r="R222" s="65"/>
      <c r="S222" s="65"/>
      <c r="T222" s="71"/>
      <c r="U222" s="71"/>
      <c r="V222" s="86"/>
    </row>
    <row r="223" spans="1:22" ht="16.5" thickTop="1" thickBot="1" x14ac:dyDescent="0.3">
      <c r="A223" s="34"/>
      <c r="C223" s="13"/>
      <c r="I223"/>
      <c r="J223" s="29" t="str">
        <f t="shared" si="1"/>
        <v/>
      </c>
      <c r="L223" s="71"/>
      <c r="M223" s="71"/>
      <c r="N223" s="71"/>
      <c r="O223" s="71"/>
      <c r="P223" s="71" t="str">
        <f>IFERROR(INDEX(RECICLADORES!C:C,MATCH(D223,RECICLADORES!B:B,0)),"")</f>
        <v/>
      </c>
      <c r="Q223" s="71" t="str">
        <f>IFERROR(INDEX(RECICLADORES!O:O,MATCH(D223,RECICLADORES!B:B,0)),"")</f>
        <v/>
      </c>
      <c r="R223" s="65"/>
      <c r="S223" s="65"/>
      <c r="T223" s="71"/>
      <c r="U223" s="71"/>
      <c r="V223" s="86"/>
    </row>
    <row r="224" spans="1:22" ht="16.5" thickTop="1" thickBot="1" x14ac:dyDescent="0.3">
      <c r="A224" s="35"/>
      <c r="C224" s="13"/>
      <c r="I224"/>
      <c r="J224" s="29" t="str">
        <f t="shared" si="1"/>
        <v/>
      </c>
      <c r="L224" s="71"/>
      <c r="M224" s="71"/>
      <c r="N224" s="71"/>
      <c r="O224" s="71"/>
      <c r="P224" s="71" t="str">
        <f>IFERROR(INDEX(RECICLADORES!C:C,MATCH(D224,RECICLADORES!B:B,0)),"")</f>
        <v/>
      </c>
      <c r="Q224" s="71" t="str">
        <f>IFERROR(INDEX(RECICLADORES!O:O,MATCH(D224,RECICLADORES!B:B,0)),"")</f>
        <v/>
      </c>
      <c r="R224" s="65"/>
      <c r="S224" s="65"/>
      <c r="T224" s="71"/>
      <c r="U224" s="71"/>
      <c r="V224" s="86"/>
    </row>
    <row r="225" spans="1:22" ht="16.5" thickTop="1" thickBot="1" x14ac:dyDescent="0.3">
      <c r="A225" s="34"/>
      <c r="C225" s="13"/>
      <c r="I225"/>
      <c r="J225" s="29" t="str">
        <f t="shared" si="1"/>
        <v/>
      </c>
      <c r="L225" s="71"/>
      <c r="M225" s="71"/>
      <c r="N225" s="71"/>
      <c r="O225" s="71"/>
      <c r="P225" s="71" t="str">
        <f>IFERROR(INDEX(RECICLADORES!C:C,MATCH(D225,RECICLADORES!B:B,0)),"")</f>
        <v/>
      </c>
      <c r="Q225" s="71" t="str">
        <f>IFERROR(INDEX(RECICLADORES!O:O,MATCH(D225,RECICLADORES!B:B,0)),"")</f>
        <v/>
      </c>
      <c r="R225" s="65"/>
      <c r="S225" s="65"/>
      <c r="T225" s="71"/>
      <c r="U225" s="71"/>
      <c r="V225" s="86"/>
    </row>
    <row r="226" spans="1:22" ht="16.5" thickTop="1" thickBot="1" x14ac:dyDescent="0.3">
      <c r="A226" s="35"/>
      <c r="C226" s="13"/>
      <c r="I226"/>
      <c r="J226" s="29" t="str">
        <f t="shared" si="1"/>
        <v/>
      </c>
      <c r="L226" s="71"/>
      <c r="M226" s="71"/>
      <c r="N226" s="71"/>
      <c r="O226" s="71"/>
      <c r="P226" s="71" t="str">
        <f>IFERROR(INDEX(RECICLADORES!C:C,MATCH(D226,RECICLADORES!B:B,0)),"")</f>
        <v/>
      </c>
      <c r="Q226" s="71" t="str">
        <f>IFERROR(INDEX(RECICLADORES!O:O,MATCH(D226,RECICLADORES!B:B,0)),"")</f>
        <v/>
      </c>
      <c r="R226" s="65"/>
      <c r="S226" s="65"/>
      <c r="T226" s="71"/>
      <c r="U226" s="71"/>
      <c r="V226" s="86"/>
    </row>
    <row r="227" spans="1:22" ht="16.5" thickTop="1" thickBot="1" x14ac:dyDescent="0.3">
      <c r="A227" s="34"/>
      <c r="C227" s="13"/>
      <c r="I227"/>
      <c r="J227" s="29" t="str">
        <f t="shared" si="1"/>
        <v/>
      </c>
      <c r="L227" s="71"/>
      <c r="M227" s="71"/>
      <c r="N227" s="71"/>
      <c r="O227" s="71"/>
      <c r="P227" s="71" t="str">
        <f>IFERROR(INDEX(RECICLADORES!C:C,MATCH(D227,RECICLADORES!B:B,0)),"")</f>
        <v/>
      </c>
      <c r="Q227" s="71" t="str">
        <f>IFERROR(INDEX(RECICLADORES!O:O,MATCH(D227,RECICLADORES!B:B,0)),"")</f>
        <v/>
      </c>
      <c r="R227" s="65"/>
      <c r="S227" s="65"/>
      <c r="T227" s="71"/>
      <c r="U227" s="71"/>
      <c r="V227" s="86"/>
    </row>
    <row r="228" spans="1:22" ht="16.5" thickTop="1" thickBot="1" x14ac:dyDescent="0.3">
      <c r="A228" s="35"/>
      <c r="C228" s="13"/>
      <c r="I228"/>
      <c r="J228" s="29" t="str">
        <f t="shared" si="1"/>
        <v/>
      </c>
      <c r="L228" s="71"/>
      <c r="M228" s="71"/>
      <c r="N228" s="71"/>
      <c r="O228" s="71"/>
      <c r="P228" s="71" t="str">
        <f>IFERROR(INDEX(RECICLADORES!C:C,MATCH(D228,RECICLADORES!B:B,0)),"")</f>
        <v/>
      </c>
      <c r="Q228" s="71" t="str">
        <f>IFERROR(INDEX(RECICLADORES!O:O,MATCH(D228,RECICLADORES!B:B,0)),"")</f>
        <v/>
      </c>
      <c r="R228" s="65"/>
      <c r="S228" s="65"/>
      <c r="T228" s="71"/>
      <c r="U228" s="71"/>
      <c r="V228" s="86"/>
    </row>
    <row r="229" spans="1:22" ht="16.5" thickTop="1" thickBot="1" x14ac:dyDescent="0.3">
      <c r="A229" s="34"/>
      <c r="C229" s="13"/>
      <c r="I229"/>
      <c r="J229" s="29" t="str">
        <f t="shared" si="1"/>
        <v/>
      </c>
      <c r="L229" s="71"/>
      <c r="M229" s="71"/>
      <c r="N229" s="71"/>
      <c r="O229" s="71"/>
      <c r="P229" s="71" t="str">
        <f>IFERROR(INDEX(RECICLADORES!C:C,MATCH(D229,RECICLADORES!B:B,0)),"")</f>
        <v/>
      </c>
      <c r="Q229" s="71" t="str">
        <f>IFERROR(INDEX(RECICLADORES!O:O,MATCH(D229,RECICLADORES!B:B,0)),"")</f>
        <v/>
      </c>
      <c r="R229" s="65"/>
      <c r="S229" s="65"/>
      <c r="T229" s="71"/>
      <c r="U229" s="71"/>
      <c r="V229" s="86"/>
    </row>
    <row r="230" spans="1:22" ht="16.5" thickTop="1" thickBot="1" x14ac:dyDescent="0.3">
      <c r="A230" s="35"/>
      <c r="C230" s="13"/>
      <c r="I230"/>
      <c r="J230" s="29" t="str">
        <f t="shared" si="1"/>
        <v/>
      </c>
      <c r="L230" s="71"/>
      <c r="M230" s="71"/>
      <c r="N230" s="71"/>
      <c r="O230" s="71"/>
      <c r="P230" s="71" t="str">
        <f>IFERROR(INDEX(RECICLADORES!C:C,MATCH(D230,RECICLADORES!B:B,0)),"")</f>
        <v/>
      </c>
      <c r="Q230" s="71" t="str">
        <f>IFERROR(INDEX(RECICLADORES!O:O,MATCH(D230,RECICLADORES!B:B,0)),"")</f>
        <v/>
      </c>
      <c r="R230" s="65"/>
      <c r="S230" s="65"/>
      <c r="T230" s="71"/>
      <c r="U230" s="71"/>
      <c r="V230" s="86"/>
    </row>
    <row r="231" spans="1:22" ht="16.5" thickTop="1" thickBot="1" x14ac:dyDescent="0.3">
      <c r="A231" s="34"/>
      <c r="C231" s="13"/>
      <c r="I231"/>
      <c r="J231" s="29" t="str">
        <f t="shared" si="1"/>
        <v/>
      </c>
      <c r="L231" s="71"/>
      <c r="M231" s="71"/>
      <c r="N231" s="71"/>
      <c r="O231" s="71"/>
      <c r="P231" s="71" t="str">
        <f>IFERROR(INDEX(RECICLADORES!C:C,MATCH(D231,RECICLADORES!B:B,0)),"")</f>
        <v/>
      </c>
      <c r="Q231" s="71" t="str">
        <f>IFERROR(INDEX(RECICLADORES!O:O,MATCH(D231,RECICLADORES!B:B,0)),"")</f>
        <v/>
      </c>
      <c r="R231" s="65"/>
      <c r="S231" s="65"/>
      <c r="T231" s="71"/>
      <c r="U231" s="71"/>
      <c r="V231" s="86"/>
    </row>
    <row r="232" spans="1:22" ht="16.5" thickTop="1" thickBot="1" x14ac:dyDescent="0.3">
      <c r="A232" s="35"/>
      <c r="C232" s="13"/>
      <c r="I232"/>
      <c r="J232" s="29" t="str">
        <f t="shared" si="1"/>
        <v/>
      </c>
      <c r="L232" s="71"/>
      <c r="M232" s="71"/>
      <c r="N232" s="71"/>
      <c r="O232" s="71"/>
      <c r="P232" s="71" t="str">
        <f>IFERROR(INDEX(RECICLADORES!C:C,MATCH(D232,RECICLADORES!B:B,0)),"")</f>
        <v/>
      </c>
      <c r="Q232" s="71" t="str">
        <f>IFERROR(INDEX(RECICLADORES!O:O,MATCH(D232,RECICLADORES!B:B,0)),"")</f>
        <v/>
      </c>
      <c r="R232" s="65"/>
      <c r="S232" s="65"/>
      <c r="T232" s="71"/>
      <c r="U232" s="71"/>
      <c r="V232" s="86"/>
    </row>
    <row r="233" spans="1:22" ht="16.5" thickTop="1" thickBot="1" x14ac:dyDescent="0.3">
      <c r="A233" s="34"/>
      <c r="C233" s="13"/>
      <c r="I233"/>
      <c r="J233" s="29" t="str">
        <f t="shared" si="1"/>
        <v/>
      </c>
      <c r="L233" s="71"/>
      <c r="M233" s="71"/>
      <c r="N233" s="71"/>
      <c r="O233" s="71"/>
      <c r="P233" s="71" t="str">
        <f>IFERROR(INDEX(RECICLADORES!C:C,MATCH(D233,RECICLADORES!B:B,0)),"")</f>
        <v/>
      </c>
      <c r="Q233" s="71" t="str">
        <f>IFERROR(INDEX(RECICLADORES!O:O,MATCH(D233,RECICLADORES!B:B,0)),"")</f>
        <v/>
      </c>
      <c r="R233" s="65"/>
      <c r="S233" s="65"/>
      <c r="T233" s="71"/>
      <c r="U233" s="71"/>
      <c r="V233" s="86"/>
    </row>
    <row r="234" spans="1:22" ht="16.5" thickTop="1" thickBot="1" x14ac:dyDescent="0.3">
      <c r="A234" s="35"/>
      <c r="B234" s="4"/>
      <c r="C234" s="4"/>
      <c r="D234" s="4"/>
      <c r="E234" s="4"/>
      <c r="F234" s="4"/>
      <c r="G234" s="5"/>
      <c r="H234" s="14"/>
      <c r="I234" s="14"/>
      <c r="J234" s="29" t="str">
        <f t="shared" si="1"/>
        <v/>
      </c>
      <c r="L234" s="71"/>
      <c r="M234" s="71"/>
      <c r="N234" s="71"/>
      <c r="O234" s="71"/>
      <c r="P234" s="71" t="str">
        <f>IFERROR(INDEX(RECICLADORES!C:C,MATCH(D234,RECICLADORES!B:B,0)),"")</f>
        <v/>
      </c>
      <c r="Q234" s="71" t="str">
        <f>IFERROR(INDEX(RECICLADORES!O:O,MATCH(D234,RECICLADORES!B:B,0)),"")</f>
        <v/>
      </c>
      <c r="R234" s="65"/>
      <c r="S234" s="65"/>
      <c r="T234" s="71"/>
      <c r="U234" s="71"/>
      <c r="V234" s="86"/>
    </row>
    <row r="235" spans="1:22" ht="16.5" thickTop="1" thickBot="1" x14ac:dyDescent="0.3">
      <c r="A235" s="34"/>
      <c r="B235" s="4"/>
      <c r="C235" s="4"/>
      <c r="D235" s="4"/>
      <c r="E235" s="4"/>
      <c r="F235" s="4"/>
      <c r="G235" s="5"/>
      <c r="H235" s="14"/>
      <c r="I235" s="14"/>
      <c r="J235" s="29" t="str">
        <f t="shared" ref="J235:J298" si="2">IF(C235="","",INT((DAY(C235)-1)/7)+1)</f>
        <v/>
      </c>
      <c r="L235" s="71"/>
      <c r="M235" s="71"/>
      <c r="N235" s="71"/>
      <c r="O235" s="71"/>
      <c r="P235" s="71" t="str">
        <f>IFERROR(INDEX(RECICLADORES!C:C,MATCH(D235,RECICLADORES!B:B,0)),"")</f>
        <v/>
      </c>
      <c r="Q235" s="71" t="str">
        <f>IFERROR(INDEX(RECICLADORES!O:O,MATCH(D235,RECICLADORES!B:B,0)),"")</f>
        <v/>
      </c>
      <c r="R235" s="65"/>
      <c r="S235" s="65"/>
      <c r="T235" s="71"/>
      <c r="U235" s="71"/>
      <c r="V235" s="86"/>
    </row>
    <row r="236" spans="1:22" ht="16.5" thickTop="1" thickBot="1" x14ac:dyDescent="0.3">
      <c r="A236" s="35"/>
      <c r="B236" s="4"/>
      <c r="C236" s="4"/>
      <c r="D236" s="4"/>
      <c r="E236" s="4"/>
      <c r="F236" s="4"/>
      <c r="G236" s="5"/>
      <c r="H236" s="14"/>
      <c r="I236" s="14"/>
      <c r="J236" s="29" t="str">
        <f t="shared" si="2"/>
        <v/>
      </c>
      <c r="L236" s="71"/>
      <c r="M236" s="71"/>
      <c r="N236" s="71"/>
      <c r="O236" s="71"/>
      <c r="P236" s="71" t="str">
        <f>IFERROR(INDEX(RECICLADORES!C:C,MATCH(D236,RECICLADORES!B:B,0)),"")</f>
        <v/>
      </c>
      <c r="Q236" s="71" t="str">
        <f>IFERROR(INDEX(RECICLADORES!O:O,MATCH(D236,RECICLADORES!B:B,0)),"")</f>
        <v/>
      </c>
      <c r="R236" s="65"/>
      <c r="S236" s="65"/>
      <c r="T236" s="71"/>
      <c r="U236" s="71"/>
      <c r="V236" s="86"/>
    </row>
    <row r="237" spans="1:22" ht="16.5" thickTop="1" thickBot="1" x14ac:dyDescent="0.3">
      <c r="A237" s="34"/>
      <c r="B237" s="4"/>
      <c r="C237" s="4"/>
      <c r="D237" s="4"/>
      <c r="E237" s="4"/>
      <c r="F237" s="4"/>
      <c r="G237" s="5"/>
      <c r="H237" s="14"/>
      <c r="I237" s="14"/>
      <c r="J237" s="29" t="str">
        <f t="shared" si="2"/>
        <v/>
      </c>
      <c r="L237" s="71"/>
      <c r="M237" s="71"/>
      <c r="N237" s="71"/>
      <c r="O237" s="71"/>
      <c r="P237" s="71" t="str">
        <f>IFERROR(INDEX(RECICLADORES!C:C,MATCH(D237,RECICLADORES!B:B,0)),"")</f>
        <v/>
      </c>
      <c r="Q237" s="71" t="str">
        <f>IFERROR(INDEX(RECICLADORES!O:O,MATCH(D237,RECICLADORES!B:B,0)),"")</f>
        <v/>
      </c>
      <c r="R237" s="65"/>
      <c r="S237" s="65"/>
      <c r="T237" s="71"/>
      <c r="U237" s="71"/>
      <c r="V237" s="86"/>
    </row>
    <row r="238" spans="1:22" ht="16.5" thickTop="1" thickBot="1" x14ac:dyDescent="0.3">
      <c r="A238" s="35"/>
      <c r="B238" s="4"/>
      <c r="C238" s="4"/>
      <c r="D238" s="4"/>
      <c r="E238" s="4"/>
      <c r="F238" s="4"/>
      <c r="G238" s="5"/>
      <c r="H238" s="14"/>
      <c r="I238" s="14"/>
      <c r="J238" s="29" t="str">
        <f t="shared" si="2"/>
        <v/>
      </c>
      <c r="L238" s="71"/>
      <c r="M238" s="71"/>
      <c r="N238" s="71"/>
      <c r="O238" s="71"/>
      <c r="P238" s="71" t="str">
        <f>IFERROR(INDEX(RECICLADORES!C:C,MATCH(D238,RECICLADORES!B:B,0)),"")</f>
        <v/>
      </c>
      <c r="Q238" s="71" t="str">
        <f>IFERROR(INDEX(RECICLADORES!O:O,MATCH(D238,RECICLADORES!B:B,0)),"")</f>
        <v/>
      </c>
      <c r="R238" s="65"/>
      <c r="S238" s="65"/>
      <c r="T238" s="71"/>
      <c r="U238" s="71"/>
      <c r="V238" s="86"/>
    </row>
    <row r="239" spans="1:22" ht="16.5" thickTop="1" thickBot="1" x14ac:dyDescent="0.3">
      <c r="A239" s="34"/>
      <c r="B239" s="4"/>
      <c r="C239" s="4"/>
      <c r="D239" s="4"/>
      <c r="E239" s="4"/>
      <c r="F239" s="4"/>
      <c r="G239" s="5"/>
      <c r="H239" s="14"/>
      <c r="I239" s="14"/>
      <c r="J239" s="29" t="str">
        <f t="shared" si="2"/>
        <v/>
      </c>
      <c r="L239" s="71"/>
      <c r="M239" s="71"/>
      <c r="N239" s="71"/>
      <c r="O239" s="71"/>
      <c r="P239" s="71" t="str">
        <f>IFERROR(INDEX(RECICLADORES!C:C,MATCH(D239,RECICLADORES!B:B,0)),"")</f>
        <v/>
      </c>
      <c r="Q239" s="71" t="str">
        <f>IFERROR(INDEX(RECICLADORES!O:O,MATCH(D239,RECICLADORES!B:B,0)),"")</f>
        <v/>
      </c>
      <c r="R239" s="65"/>
      <c r="S239" s="65"/>
      <c r="T239" s="71"/>
      <c r="U239" s="71"/>
      <c r="V239" s="86"/>
    </row>
    <row r="240" spans="1:22" ht="16.5" thickTop="1" thickBot="1" x14ac:dyDescent="0.3">
      <c r="A240" s="35"/>
      <c r="B240" s="4"/>
      <c r="C240" s="4"/>
      <c r="D240" s="4"/>
      <c r="E240" s="4"/>
      <c r="F240" s="4"/>
      <c r="G240" s="5"/>
      <c r="H240" s="14"/>
      <c r="I240" s="14"/>
      <c r="J240" s="29" t="str">
        <f t="shared" si="2"/>
        <v/>
      </c>
      <c r="L240" s="71"/>
      <c r="M240" s="71"/>
      <c r="N240" s="71"/>
      <c r="O240" s="71"/>
      <c r="P240" s="71" t="str">
        <f>IFERROR(INDEX(RECICLADORES!C:C,MATCH(D240,RECICLADORES!B:B,0)),"")</f>
        <v/>
      </c>
      <c r="Q240" s="71" t="str">
        <f>IFERROR(INDEX(RECICLADORES!O:O,MATCH(D240,RECICLADORES!B:B,0)),"")</f>
        <v/>
      </c>
      <c r="R240" s="65"/>
      <c r="S240" s="65"/>
      <c r="T240" s="71"/>
      <c r="U240" s="71"/>
      <c r="V240" s="86"/>
    </row>
    <row r="241" spans="1:22" ht="16.5" thickTop="1" thickBot="1" x14ac:dyDescent="0.3">
      <c r="A241" s="34"/>
      <c r="B241" s="4"/>
      <c r="C241" s="4"/>
      <c r="D241" s="4"/>
      <c r="E241" s="4"/>
      <c r="F241" s="4"/>
      <c r="G241" s="5"/>
      <c r="H241" s="14"/>
      <c r="I241" s="14"/>
      <c r="J241" s="29" t="str">
        <f t="shared" si="2"/>
        <v/>
      </c>
      <c r="L241" s="71"/>
      <c r="M241" s="71"/>
      <c r="N241" s="71"/>
      <c r="O241" s="71"/>
      <c r="P241" s="71" t="str">
        <f>IFERROR(INDEX(RECICLADORES!C:C,MATCH(D241,RECICLADORES!B:B,0)),"")</f>
        <v/>
      </c>
      <c r="Q241" s="71" t="str">
        <f>IFERROR(INDEX(RECICLADORES!O:O,MATCH(D241,RECICLADORES!B:B,0)),"")</f>
        <v/>
      </c>
      <c r="R241" s="65"/>
      <c r="S241" s="65"/>
      <c r="T241" s="71"/>
      <c r="U241" s="71"/>
      <c r="V241" s="86"/>
    </row>
    <row r="242" spans="1:22" ht="16.5" thickTop="1" thickBot="1" x14ac:dyDescent="0.3">
      <c r="A242" s="35"/>
      <c r="B242" s="4"/>
      <c r="C242" s="4"/>
      <c r="D242" s="4"/>
      <c r="E242" s="4"/>
      <c r="F242" s="4"/>
      <c r="G242" s="5"/>
      <c r="H242" s="14"/>
      <c r="I242" s="14"/>
      <c r="J242" s="29" t="str">
        <f t="shared" si="2"/>
        <v/>
      </c>
      <c r="L242" s="71"/>
      <c r="M242" s="71"/>
      <c r="N242" s="71"/>
      <c r="O242" s="71"/>
      <c r="P242" s="71" t="str">
        <f>IFERROR(INDEX(RECICLADORES!C:C,MATCH(D242,RECICLADORES!B:B,0)),"")</f>
        <v/>
      </c>
      <c r="Q242" s="71" t="str">
        <f>IFERROR(INDEX(RECICLADORES!O:O,MATCH(D242,RECICLADORES!B:B,0)),"")</f>
        <v/>
      </c>
      <c r="R242" s="65"/>
      <c r="S242" s="65"/>
      <c r="T242" s="71"/>
      <c r="U242" s="71"/>
      <c r="V242" s="86"/>
    </row>
    <row r="243" spans="1:22" ht="16.5" thickTop="1" thickBot="1" x14ac:dyDescent="0.3">
      <c r="A243" s="34"/>
      <c r="B243" s="4"/>
      <c r="C243" s="4"/>
      <c r="D243" s="4"/>
      <c r="E243" s="4"/>
      <c r="F243" s="4"/>
      <c r="G243" s="5"/>
      <c r="H243" s="14"/>
      <c r="I243" s="14"/>
      <c r="J243" s="29" t="str">
        <f t="shared" si="2"/>
        <v/>
      </c>
      <c r="L243" s="71"/>
      <c r="M243" s="71"/>
      <c r="N243" s="71"/>
      <c r="O243" s="71"/>
      <c r="P243" s="71" t="str">
        <f>IFERROR(INDEX(RECICLADORES!C:C,MATCH(D243,RECICLADORES!B:B,0)),"")</f>
        <v/>
      </c>
      <c r="Q243" s="71" t="str">
        <f>IFERROR(INDEX(RECICLADORES!O:O,MATCH(D243,RECICLADORES!B:B,0)),"")</f>
        <v/>
      </c>
      <c r="R243" s="65"/>
      <c r="S243" s="65"/>
      <c r="T243" s="71"/>
      <c r="U243" s="71"/>
      <c r="V243" s="86"/>
    </row>
    <row r="244" spans="1:22" ht="16.5" thickTop="1" thickBot="1" x14ac:dyDescent="0.3">
      <c r="A244" s="35"/>
      <c r="B244" s="4"/>
      <c r="C244" s="4"/>
      <c r="D244" s="4"/>
      <c r="E244" s="4"/>
      <c r="F244" s="4"/>
      <c r="G244" s="5"/>
      <c r="H244" s="14"/>
      <c r="I244" s="14"/>
      <c r="J244" s="29" t="str">
        <f t="shared" si="2"/>
        <v/>
      </c>
      <c r="L244" s="71"/>
      <c r="M244" s="71"/>
      <c r="N244" s="71"/>
      <c r="O244" s="71"/>
      <c r="P244" s="71" t="str">
        <f>IFERROR(INDEX(RECICLADORES!C:C,MATCH(D244,RECICLADORES!B:B,0)),"")</f>
        <v/>
      </c>
      <c r="Q244" s="71" t="str">
        <f>IFERROR(INDEX(RECICLADORES!O:O,MATCH(D244,RECICLADORES!B:B,0)),"")</f>
        <v/>
      </c>
      <c r="R244" s="65"/>
      <c r="S244" s="65"/>
      <c r="T244" s="71"/>
      <c r="U244" s="71"/>
      <c r="V244" s="86"/>
    </row>
    <row r="245" spans="1:22" ht="16.5" thickTop="1" thickBot="1" x14ac:dyDescent="0.3">
      <c r="A245" s="34"/>
      <c r="B245" s="4"/>
      <c r="C245" s="4"/>
      <c r="D245" s="4"/>
      <c r="E245" s="4"/>
      <c r="F245" s="4"/>
      <c r="G245" s="5"/>
      <c r="H245" s="14"/>
      <c r="I245" s="14"/>
      <c r="J245" s="29" t="str">
        <f t="shared" si="2"/>
        <v/>
      </c>
      <c r="L245" s="71"/>
      <c r="M245" s="71"/>
      <c r="N245" s="71"/>
      <c r="O245" s="71"/>
      <c r="P245" s="71" t="str">
        <f>IFERROR(INDEX(RECICLADORES!C:C,MATCH(D245,RECICLADORES!B:B,0)),"")</f>
        <v/>
      </c>
      <c r="Q245" s="71" t="str">
        <f>IFERROR(INDEX(RECICLADORES!O:O,MATCH(D245,RECICLADORES!B:B,0)),"")</f>
        <v/>
      </c>
      <c r="R245" s="65"/>
      <c r="S245" s="65"/>
      <c r="T245" s="71"/>
      <c r="U245" s="71"/>
      <c r="V245" s="86"/>
    </row>
    <row r="246" spans="1:22" ht="16.5" thickTop="1" thickBot="1" x14ac:dyDescent="0.3">
      <c r="A246" s="35"/>
      <c r="B246" s="4"/>
      <c r="C246" s="4"/>
      <c r="D246" s="4"/>
      <c r="E246" s="4"/>
      <c r="F246" s="4"/>
      <c r="G246" s="5"/>
      <c r="H246" s="14"/>
      <c r="I246" s="14"/>
      <c r="J246" s="29" t="str">
        <f t="shared" si="2"/>
        <v/>
      </c>
      <c r="L246" s="71"/>
      <c r="M246" s="71"/>
      <c r="N246" s="71"/>
      <c r="O246" s="71"/>
      <c r="P246" s="71" t="str">
        <f>IFERROR(INDEX(RECICLADORES!C:C,MATCH(D246,RECICLADORES!B:B,0)),"")</f>
        <v/>
      </c>
      <c r="Q246" s="71" t="str">
        <f>IFERROR(INDEX(RECICLADORES!O:O,MATCH(D246,RECICLADORES!B:B,0)),"")</f>
        <v/>
      </c>
      <c r="R246" s="65"/>
      <c r="S246" s="65"/>
      <c r="T246" s="71"/>
      <c r="U246" s="71"/>
      <c r="V246" s="86"/>
    </row>
    <row r="247" spans="1:22" ht="16.5" thickTop="1" thickBot="1" x14ac:dyDescent="0.3">
      <c r="A247" s="34"/>
      <c r="B247" s="4"/>
      <c r="C247" s="4"/>
      <c r="D247" s="4"/>
      <c r="E247" s="4"/>
      <c r="F247" s="4"/>
      <c r="G247" s="5"/>
      <c r="H247" s="14"/>
      <c r="I247" s="14"/>
      <c r="J247" s="29" t="str">
        <f t="shared" si="2"/>
        <v/>
      </c>
      <c r="L247" s="71"/>
      <c r="M247" s="71"/>
      <c r="N247" s="71"/>
      <c r="O247" s="71"/>
      <c r="P247" s="71" t="str">
        <f>IFERROR(INDEX(RECICLADORES!C:C,MATCH(D247,RECICLADORES!B:B,0)),"")</f>
        <v/>
      </c>
      <c r="Q247" s="71" t="str">
        <f>IFERROR(INDEX(RECICLADORES!O:O,MATCH(D247,RECICLADORES!B:B,0)),"")</f>
        <v/>
      </c>
      <c r="R247" s="65"/>
      <c r="S247" s="65"/>
      <c r="T247" s="71"/>
      <c r="U247" s="71"/>
      <c r="V247" s="86"/>
    </row>
    <row r="248" spans="1:22" ht="16.5" thickTop="1" thickBot="1" x14ac:dyDescent="0.3">
      <c r="A248" s="35"/>
      <c r="B248" s="4"/>
      <c r="C248" s="4"/>
      <c r="D248" s="4"/>
      <c r="E248" s="4"/>
      <c r="F248" s="4"/>
      <c r="G248" s="5"/>
      <c r="H248" s="14"/>
      <c r="I248" s="14"/>
      <c r="J248" s="29" t="str">
        <f t="shared" si="2"/>
        <v/>
      </c>
      <c r="L248" s="71"/>
      <c r="M248" s="71"/>
      <c r="N248" s="71"/>
      <c r="O248" s="71"/>
      <c r="P248" s="71" t="str">
        <f>IFERROR(INDEX(RECICLADORES!C:C,MATCH(D248,RECICLADORES!B:B,0)),"")</f>
        <v/>
      </c>
      <c r="Q248" s="71" t="str">
        <f>IFERROR(INDEX(RECICLADORES!O:O,MATCH(D248,RECICLADORES!B:B,0)),"")</f>
        <v/>
      </c>
      <c r="R248" s="65"/>
      <c r="S248" s="65"/>
      <c r="T248" s="71"/>
      <c r="U248" s="71"/>
      <c r="V248" s="86"/>
    </row>
    <row r="249" spans="1:22" ht="16.5" thickTop="1" thickBot="1" x14ac:dyDescent="0.3">
      <c r="A249" s="34"/>
      <c r="B249" s="4"/>
      <c r="C249" s="4"/>
      <c r="D249" s="4"/>
      <c r="E249" s="4"/>
      <c r="F249" s="4"/>
      <c r="G249" s="5"/>
      <c r="H249" s="14"/>
      <c r="I249" s="14"/>
      <c r="J249" s="29" t="str">
        <f t="shared" si="2"/>
        <v/>
      </c>
      <c r="L249" s="71"/>
      <c r="M249" s="71"/>
      <c r="N249" s="71"/>
      <c r="O249" s="71"/>
      <c r="P249" s="71" t="str">
        <f>IFERROR(INDEX(RECICLADORES!C:C,MATCH(D249,RECICLADORES!B:B,0)),"")</f>
        <v/>
      </c>
      <c r="Q249" s="71" t="str">
        <f>IFERROR(INDEX(RECICLADORES!O:O,MATCH(D249,RECICLADORES!B:B,0)),"")</f>
        <v/>
      </c>
      <c r="R249" s="65"/>
      <c r="S249" s="65"/>
      <c r="T249" s="71"/>
      <c r="U249" s="71"/>
      <c r="V249" s="86"/>
    </row>
    <row r="250" spans="1:22" ht="16.5" thickTop="1" thickBot="1" x14ac:dyDescent="0.3">
      <c r="A250" s="35"/>
      <c r="B250" s="4"/>
      <c r="C250" s="4"/>
      <c r="D250" s="4"/>
      <c r="E250" s="4"/>
      <c r="F250" s="4"/>
      <c r="G250" s="5"/>
      <c r="H250" s="14"/>
      <c r="I250" s="14"/>
      <c r="J250" s="29" t="str">
        <f t="shared" si="2"/>
        <v/>
      </c>
      <c r="L250" s="71"/>
      <c r="M250" s="71"/>
      <c r="N250" s="71"/>
      <c r="O250" s="71"/>
      <c r="P250" s="71" t="str">
        <f>IFERROR(INDEX(RECICLADORES!C:C,MATCH(D250,RECICLADORES!B:B,0)),"")</f>
        <v/>
      </c>
      <c r="Q250" s="71" t="str">
        <f>IFERROR(INDEX(RECICLADORES!O:O,MATCH(D250,RECICLADORES!B:B,0)),"")</f>
        <v/>
      </c>
      <c r="R250" s="65"/>
      <c r="S250" s="65"/>
      <c r="T250" s="71"/>
      <c r="U250" s="71"/>
      <c r="V250" s="86"/>
    </row>
    <row r="251" spans="1:22" ht="16.5" thickTop="1" thickBot="1" x14ac:dyDescent="0.3">
      <c r="A251" s="35"/>
      <c r="B251" s="4"/>
      <c r="C251" s="4"/>
      <c r="D251" s="4"/>
      <c r="E251" s="4"/>
      <c r="F251" s="4"/>
      <c r="G251" s="5"/>
      <c r="H251" s="14"/>
      <c r="I251" s="14"/>
      <c r="J251" s="29" t="str">
        <f t="shared" si="2"/>
        <v/>
      </c>
      <c r="L251" s="71"/>
      <c r="M251" s="71"/>
      <c r="N251" s="71"/>
      <c r="O251" s="71"/>
      <c r="P251" s="71" t="str">
        <f>IFERROR(INDEX(RECICLADORES!C:C,MATCH(D251,RECICLADORES!B:B,0)),"")</f>
        <v/>
      </c>
      <c r="Q251" s="71" t="str">
        <f>IFERROR(INDEX(RECICLADORES!O:O,MATCH(D251,RECICLADORES!B:B,0)),"")</f>
        <v/>
      </c>
      <c r="R251" s="65"/>
      <c r="S251" s="65"/>
      <c r="T251" s="71"/>
      <c r="U251" s="71"/>
      <c r="V251" s="86"/>
    </row>
    <row r="252" spans="1:22" ht="16.5" thickTop="1" thickBot="1" x14ac:dyDescent="0.3">
      <c r="A252" s="34"/>
      <c r="B252" s="4"/>
      <c r="C252" s="4"/>
      <c r="D252" s="4"/>
      <c r="E252" s="4"/>
      <c r="F252" s="4"/>
      <c r="G252" s="5"/>
      <c r="H252" s="14"/>
      <c r="I252" s="14"/>
      <c r="J252" s="29" t="str">
        <f t="shared" si="2"/>
        <v/>
      </c>
      <c r="L252" s="71"/>
      <c r="M252" s="71"/>
      <c r="N252" s="71"/>
      <c r="O252" s="71"/>
      <c r="P252" s="71" t="str">
        <f>IFERROR(INDEX(RECICLADORES!C:C,MATCH(D252,RECICLADORES!B:B,0)),"")</f>
        <v/>
      </c>
      <c r="Q252" s="71" t="str">
        <f>IFERROR(INDEX(RECICLADORES!O:O,MATCH(D252,RECICLADORES!B:B,0)),"")</f>
        <v/>
      </c>
      <c r="R252" s="65"/>
      <c r="S252" s="65"/>
      <c r="T252" s="71"/>
      <c r="U252" s="71"/>
      <c r="V252" s="86"/>
    </row>
    <row r="253" spans="1:22" ht="16.5" thickTop="1" thickBot="1" x14ac:dyDescent="0.3">
      <c r="A253" s="35"/>
      <c r="B253" s="4"/>
      <c r="C253" s="4"/>
      <c r="D253" s="4"/>
      <c r="E253" s="4"/>
      <c r="F253" s="4"/>
      <c r="G253" s="5"/>
      <c r="H253" s="14"/>
      <c r="I253" s="14"/>
      <c r="J253" s="29" t="str">
        <f t="shared" si="2"/>
        <v/>
      </c>
      <c r="L253" s="71"/>
      <c r="M253" s="71"/>
      <c r="N253" s="71"/>
      <c r="O253" s="71"/>
      <c r="P253" s="71" t="str">
        <f>IFERROR(INDEX(RECICLADORES!C:C,MATCH(D253,RECICLADORES!B:B,0)),"")</f>
        <v/>
      </c>
      <c r="Q253" s="71" t="str">
        <f>IFERROR(INDEX(RECICLADORES!O:O,MATCH(D253,RECICLADORES!B:B,0)),"")</f>
        <v/>
      </c>
      <c r="R253" s="65"/>
      <c r="S253" s="65"/>
      <c r="T253" s="71"/>
      <c r="U253" s="71"/>
      <c r="V253" s="86"/>
    </row>
    <row r="254" spans="1:22" ht="16.5" thickTop="1" thickBot="1" x14ac:dyDescent="0.3">
      <c r="A254" s="34"/>
      <c r="B254" s="4"/>
      <c r="C254" s="4"/>
      <c r="D254" s="4"/>
      <c r="E254" s="4"/>
      <c r="F254" s="4"/>
      <c r="G254" s="5"/>
      <c r="H254" s="14"/>
      <c r="I254" s="14"/>
      <c r="J254" s="29" t="str">
        <f t="shared" si="2"/>
        <v/>
      </c>
      <c r="L254" s="71"/>
      <c r="M254" s="71"/>
      <c r="N254" s="71"/>
      <c r="O254" s="71"/>
      <c r="P254" s="71" t="str">
        <f>IFERROR(INDEX(RECICLADORES!C:C,MATCH(D254,RECICLADORES!B:B,0)),"")</f>
        <v/>
      </c>
      <c r="Q254" s="71" t="str">
        <f>IFERROR(INDEX(RECICLADORES!O:O,MATCH(D254,RECICLADORES!B:B,0)),"")</f>
        <v/>
      </c>
      <c r="R254" s="65"/>
      <c r="S254" s="65"/>
      <c r="T254" s="71"/>
      <c r="U254" s="71"/>
      <c r="V254" s="86"/>
    </row>
    <row r="255" spans="1:22" ht="16.5" thickTop="1" thickBot="1" x14ac:dyDescent="0.3">
      <c r="A255" s="35"/>
      <c r="B255" s="4"/>
      <c r="C255" s="4"/>
      <c r="D255" s="4"/>
      <c r="E255" s="4"/>
      <c r="F255" s="4"/>
      <c r="G255" s="5"/>
      <c r="H255" s="14"/>
      <c r="I255" s="14"/>
      <c r="J255" s="29" t="str">
        <f t="shared" si="2"/>
        <v/>
      </c>
      <c r="L255" s="71"/>
      <c r="M255" s="71"/>
      <c r="N255" s="71"/>
      <c r="O255" s="71"/>
      <c r="P255" s="71" t="str">
        <f>IFERROR(INDEX(RECICLADORES!C:C,MATCH(D255,RECICLADORES!B:B,0)),"")</f>
        <v/>
      </c>
      <c r="Q255" s="71" t="str">
        <f>IFERROR(INDEX(RECICLADORES!O:O,MATCH(D255,RECICLADORES!B:B,0)),"")</f>
        <v/>
      </c>
      <c r="R255" s="65"/>
      <c r="S255" s="65"/>
      <c r="T255" s="71"/>
      <c r="U255" s="71"/>
      <c r="V255" s="86"/>
    </row>
    <row r="256" spans="1:22" ht="16.5" thickTop="1" thickBot="1" x14ac:dyDescent="0.3">
      <c r="A256" s="34"/>
      <c r="B256" s="4"/>
      <c r="C256" s="4"/>
      <c r="D256" s="4"/>
      <c r="E256" s="4"/>
      <c r="F256" s="4"/>
      <c r="G256" s="5"/>
      <c r="H256" s="14"/>
      <c r="I256" s="14"/>
      <c r="J256" s="29" t="str">
        <f t="shared" si="2"/>
        <v/>
      </c>
      <c r="L256" s="71"/>
      <c r="M256" s="71"/>
      <c r="N256" s="71"/>
      <c r="O256" s="71"/>
      <c r="P256" s="71" t="str">
        <f>IFERROR(INDEX(RECICLADORES!C:C,MATCH(D256,RECICLADORES!B:B,0)),"")</f>
        <v/>
      </c>
      <c r="Q256" s="71" t="str">
        <f>IFERROR(INDEX(RECICLADORES!O:O,MATCH(D256,RECICLADORES!B:B,0)),"")</f>
        <v/>
      </c>
      <c r="R256" s="65"/>
      <c r="S256" s="65"/>
      <c r="T256" s="71"/>
      <c r="U256" s="71"/>
      <c r="V256" s="86"/>
    </row>
    <row r="257" spans="1:22" ht="16.5" thickTop="1" thickBot="1" x14ac:dyDescent="0.3">
      <c r="A257" s="35"/>
      <c r="B257" s="4"/>
      <c r="C257" s="4"/>
      <c r="D257" s="4"/>
      <c r="E257" s="4"/>
      <c r="F257" s="4"/>
      <c r="G257" s="5"/>
      <c r="H257" s="14"/>
      <c r="I257" s="14"/>
      <c r="J257" s="29" t="str">
        <f t="shared" si="2"/>
        <v/>
      </c>
      <c r="L257" s="71"/>
      <c r="M257" s="71"/>
      <c r="N257" s="71"/>
      <c r="O257" s="71"/>
      <c r="P257" s="71" t="str">
        <f>IFERROR(INDEX(RECICLADORES!C:C,MATCH(D257,RECICLADORES!B:B,0)),"")</f>
        <v/>
      </c>
      <c r="Q257" s="71" t="str">
        <f>IFERROR(INDEX(RECICLADORES!O:O,MATCH(D257,RECICLADORES!B:B,0)),"")</f>
        <v/>
      </c>
      <c r="R257" s="65"/>
      <c r="S257" s="65"/>
      <c r="T257" s="71"/>
      <c r="U257" s="71"/>
      <c r="V257" s="86"/>
    </row>
    <row r="258" spans="1:22" ht="16.5" thickTop="1" thickBot="1" x14ac:dyDescent="0.3">
      <c r="A258" s="34"/>
      <c r="B258" s="4"/>
      <c r="C258" s="4"/>
      <c r="D258" s="4"/>
      <c r="E258" s="4"/>
      <c r="F258" s="4"/>
      <c r="G258" s="5"/>
      <c r="H258" s="14"/>
      <c r="I258" s="14"/>
      <c r="J258" s="29" t="str">
        <f t="shared" si="2"/>
        <v/>
      </c>
      <c r="L258" s="71"/>
      <c r="M258" s="71"/>
      <c r="N258" s="71"/>
      <c r="O258" s="71"/>
      <c r="P258" s="71" t="str">
        <f>IFERROR(INDEX(RECICLADORES!C:C,MATCH(D258,RECICLADORES!B:B,0)),"")</f>
        <v/>
      </c>
      <c r="Q258" s="71" t="str">
        <f>IFERROR(INDEX(RECICLADORES!O:O,MATCH(D258,RECICLADORES!B:B,0)),"")</f>
        <v/>
      </c>
      <c r="R258" s="65"/>
      <c r="S258" s="65"/>
      <c r="T258" s="71"/>
      <c r="U258" s="71"/>
      <c r="V258" s="86"/>
    </row>
    <row r="259" spans="1:22" ht="16.5" thickTop="1" thickBot="1" x14ac:dyDescent="0.3">
      <c r="A259" s="35"/>
      <c r="B259" s="4"/>
      <c r="C259" s="4"/>
      <c r="D259" s="4"/>
      <c r="E259" s="4"/>
      <c r="F259" s="4"/>
      <c r="G259" s="5"/>
      <c r="H259" s="14"/>
      <c r="I259" s="14"/>
      <c r="J259" s="29" t="str">
        <f t="shared" si="2"/>
        <v/>
      </c>
      <c r="L259" s="71"/>
      <c r="M259" s="71"/>
      <c r="N259" s="71"/>
      <c r="O259" s="71"/>
      <c r="P259" s="71" t="str">
        <f>IFERROR(INDEX(RECICLADORES!C:C,MATCH(D259,RECICLADORES!B:B,0)),"")</f>
        <v/>
      </c>
      <c r="Q259" s="71" t="str">
        <f>IFERROR(INDEX(RECICLADORES!O:O,MATCH(D259,RECICLADORES!B:B,0)),"")</f>
        <v/>
      </c>
      <c r="R259" s="65"/>
      <c r="S259" s="65"/>
      <c r="T259" s="71"/>
      <c r="U259" s="71"/>
      <c r="V259" s="86"/>
    </row>
    <row r="260" spans="1:22" ht="16.5" thickTop="1" thickBot="1" x14ac:dyDescent="0.3">
      <c r="A260" s="34"/>
      <c r="B260" s="4"/>
      <c r="C260" s="4"/>
      <c r="D260" s="4"/>
      <c r="E260" s="4"/>
      <c r="F260" s="4"/>
      <c r="G260" s="5"/>
      <c r="H260" s="14"/>
      <c r="I260" s="14"/>
      <c r="J260" s="29" t="str">
        <f t="shared" si="2"/>
        <v/>
      </c>
      <c r="L260" s="71"/>
      <c r="M260" s="71"/>
      <c r="N260" s="71"/>
      <c r="O260" s="71"/>
      <c r="P260" s="71" t="str">
        <f>IFERROR(INDEX(RECICLADORES!C:C,MATCH(D260,RECICLADORES!B:B,0)),"")</f>
        <v/>
      </c>
      <c r="Q260" s="71" t="str">
        <f>IFERROR(INDEX(RECICLADORES!O:O,MATCH(D260,RECICLADORES!B:B,0)),"")</f>
        <v/>
      </c>
      <c r="R260" s="65"/>
      <c r="S260" s="65"/>
      <c r="T260" s="71"/>
      <c r="U260" s="71"/>
      <c r="V260" s="86"/>
    </row>
    <row r="261" spans="1:22" ht="16.5" thickTop="1" thickBot="1" x14ac:dyDescent="0.3">
      <c r="A261" s="35"/>
      <c r="B261" s="4"/>
      <c r="C261" s="4"/>
      <c r="D261" s="4"/>
      <c r="E261" s="4"/>
      <c r="F261" s="4"/>
      <c r="G261" s="5"/>
      <c r="H261" s="14"/>
      <c r="I261" s="14"/>
      <c r="J261" s="29" t="str">
        <f t="shared" si="2"/>
        <v/>
      </c>
      <c r="L261" s="71"/>
      <c r="M261" s="71"/>
      <c r="N261" s="71"/>
      <c r="O261" s="71"/>
      <c r="P261" s="71" t="str">
        <f>IFERROR(INDEX(RECICLADORES!C:C,MATCH(D261,RECICLADORES!B:B,0)),"")</f>
        <v/>
      </c>
      <c r="Q261" s="71" t="str">
        <f>IFERROR(INDEX(RECICLADORES!O:O,MATCH(D261,RECICLADORES!B:B,0)),"")</f>
        <v/>
      </c>
      <c r="R261" s="65"/>
      <c r="S261" s="65"/>
      <c r="T261" s="71"/>
      <c r="U261" s="71"/>
      <c r="V261" s="86"/>
    </row>
    <row r="262" spans="1:22" ht="16.5" thickTop="1" thickBot="1" x14ac:dyDescent="0.3">
      <c r="A262" s="34"/>
      <c r="B262" s="4"/>
      <c r="C262" s="4"/>
      <c r="D262" s="4"/>
      <c r="E262" s="4"/>
      <c r="F262" s="4"/>
      <c r="G262" s="5"/>
      <c r="H262" s="14"/>
      <c r="I262" s="14"/>
      <c r="J262" s="29" t="str">
        <f t="shared" si="2"/>
        <v/>
      </c>
      <c r="L262" s="71"/>
      <c r="M262" s="71"/>
      <c r="N262" s="71"/>
      <c r="O262" s="71"/>
      <c r="P262" s="71" t="str">
        <f>IFERROR(INDEX(RECICLADORES!C:C,MATCH(D262,RECICLADORES!B:B,0)),"")</f>
        <v/>
      </c>
      <c r="Q262" s="71" t="str">
        <f>IFERROR(INDEX(RECICLADORES!O:O,MATCH(D262,RECICLADORES!B:B,0)),"")</f>
        <v/>
      </c>
      <c r="R262" s="65"/>
      <c r="S262" s="65"/>
      <c r="T262" s="71"/>
      <c r="U262" s="71"/>
      <c r="V262" s="86"/>
    </row>
    <row r="263" spans="1:22" ht="16.5" thickTop="1" thickBot="1" x14ac:dyDescent="0.3">
      <c r="A263" s="35"/>
      <c r="B263" s="4"/>
      <c r="C263" s="4"/>
      <c r="D263" s="4"/>
      <c r="E263" s="4"/>
      <c r="F263" s="4"/>
      <c r="G263" s="5"/>
      <c r="H263" s="14"/>
      <c r="I263" s="14"/>
      <c r="J263" s="29" t="str">
        <f t="shared" si="2"/>
        <v/>
      </c>
      <c r="L263" s="71"/>
      <c r="M263" s="71"/>
      <c r="N263" s="71"/>
      <c r="O263" s="71"/>
      <c r="P263" s="71" t="str">
        <f>IFERROR(INDEX(RECICLADORES!C:C,MATCH(D263,RECICLADORES!B:B,0)),"")</f>
        <v/>
      </c>
      <c r="Q263" s="71" t="str">
        <f>IFERROR(INDEX(RECICLADORES!O:O,MATCH(D263,RECICLADORES!B:B,0)),"")</f>
        <v/>
      </c>
      <c r="R263" s="65"/>
      <c r="S263" s="65"/>
      <c r="T263" s="71"/>
      <c r="U263" s="71"/>
      <c r="V263" s="86"/>
    </row>
    <row r="264" spans="1:22" ht="16.5" thickTop="1" thickBot="1" x14ac:dyDescent="0.3">
      <c r="A264" s="34"/>
      <c r="B264" s="4"/>
      <c r="C264" s="4"/>
      <c r="D264" s="4"/>
      <c r="E264" s="4"/>
      <c r="F264" s="4"/>
      <c r="G264" s="5"/>
      <c r="H264" s="14"/>
      <c r="I264" s="14"/>
      <c r="J264" s="29" t="str">
        <f t="shared" si="2"/>
        <v/>
      </c>
      <c r="L264" s="71"/>
      <c r="M264" s="71"/>
      <c r="N264" s="71"/>
      <c r="O264" s="71"/>
      <c r="P264" s="71" t="str">
        <f>IFERROR(INDEX(RECICLADORES!C:C,MATCH(D264,RECICLADORES!B:B,0)),"")</f>
        <v/>
      </c>
      <c r="Q264" s="71" t="str">
        <f>IFERROR(INDEX(RECICLADORES!O:O,MATCH(D264,RECICLADORES!B:B,0)),"")</f>
        <v/>
      </c>
      <c r="R264" s="65"/>
      <c r="S264" s="65"/>
      <c r="T264" s="71"/>
      <c r="U264" s="71"/>
      <c r="V264" s="86"/>
    </row>
    <row r="265" spans="1:22" ht="16.5" thickTop="1" thickBot="1" x14ac:dyDescent="0.3">
      <c r="A265" s="35"/>
      <c r="B265" s="4"/>
      <c r="C265" s="4"/>
      <c r="D265" s="4"/>
      <c r="E265" s="4"/>
      <c r="F265" s="4"/>
      <c r="G265" s="5"/>
      <c r="H265" s="14"/>
      <c r="I265" s="14"/>
      <c r="J265" s="29" t="str">
        <f t="shared" si="2"/>
        <v/>
      </c>
      <c r="L265" s="71"/>
      <c r="M265" s="71"/>
      <c r="N265" s="71"/>
      <c r="O265" s="71"/>
      <c r="P265" s="71" t="str">
        <f>IFERROR(INDEX(RECICLADORES!C:C,MATCH(D265,RECICLADORES!B:B,0)),"")</f>
        <v/>
      </c>
      <c r="Q265" s="71" t="str">
        <f>IFERROR(INDEX(RECICLADORES!O:O,MATCH(D265,RECICLADORES!B:B,0)),"")</f>
        <v/>
      </c>
      <c r="R265" s="65"/>
      <c r="S265" s="65"/>
      <c r="T265" s="71"/>
      <c r="U265" s="71"/>
      <c r="V265" s="86"/>
    </row>
    <row r="266" spans="1:22" ht="16.5" thickTop="1" thickBot="1" x14ac:dyDescent="0.3">
      <c r="A266" s="34"/>
      <c r="B266" s="4"/>
      <c r="C266" s="4"/>
      <c r="D266" s="4"/>
      <c r="E266" s="4"/>
      <c r="F266" s="4"/>
      <c r="G266" s="5"/>
      <c r="H266" s="14"/>
      <c r="I266" s="14"/>
      <c r="J266" s="29" t="str">
        <f t="shared" si="2"/>
        <v/>
      </c>
      <c r="L266" s="71"/>
      <c r="M266" s="71"/>
      <c r="N266" s="71"/>
      <c r="O266" s="71"/>
      <c r="P266" s="71" t="str">
        <f>IFERROR(INDEX(RECICLADORES!C:C,MATCH(D266,RECICLADORES!B:B,0)),"")</f>
        <v/>
      </c>
      <c r="Q266" s="71" t="str">
        <f>IFERROR(INDEX(RECICLADORES!O:O,MATCH(D266,RECICLADORES!B:B,0)),"")</f>
        <v/>
      </c>
      <c r="R266" s="65"/>
      <c r="S266" s="65"/>
      <c r="T266" s="71"/>
      <c r="U266" s="71"/>
      <c r="V266" s="86"/>
    </row>
    <row r="267" spans="1:22" ht="16.5" thickTop="1" thickBot="1" x14ac:dyDescent="0.3">
      <c r="A267" s="35"/>
      <c r="B267" s="4"/>
      <c r="C267" s="4"/>
      <c r="D267" s="4"/>
      <c r="E267" s="4"/>
      <c r="F267" s="4"/>
      <c r="G267" s="5"/>
      <c r="H267" s="14"/>
      <c r="I267" s="14"/>
      <c r="J267" s="29" t="str">
        <f t="shared" si="2"/>
        <v/>
      </c>
      <c r="L267" s="71"/>
      <c r="M267" s="71"/>
      <c r="N267" s="71"/>
      <c r="O267" s="71"/>
      <c r="P267" s="71" t="str">
        <f>IFERROR(INDEX(RECICLADORES!C:C,MATCH(D267,RECICLADORES!B:B,0)),"")</f>
        <v/>
      </c>
      <c r="Q267" s="71" t="str">
        <f>IFERROR(INDEX(RECICLADORES!O:O,MATCH(D267,RECICLADORES!B:B,0)),"")</f>
        <v/>
      </c>
      <c r="R267" s="65"/>
      <c r="S267" s="65"/>
      <c r="T267" s="71"/>
      <c r="U267" s="71"/>
      <c r="V267" s="86"/>
    </row>
    <row r="268" spans="1:22" ht="16.5" thickTop="1" thickBot="1" x14ac:dyDescent="0.3">
      <c r="A268" s="34"/>
      <c r="B268" s="4"/>
      <c r="C268" s="4"/>
      <c r="D268" s="4"/>
      <c r="E268" s="4"/>
      <c r="F268" s="4"/>
      <c r="G268" s="5"/>
      <c r="H268" s="14"/>
      <c r="I268" s="14"/>
      <c r="J268" s="29" t="str">
        <f t="shared" si="2"/>
        <v/>
      </c>
      <c r="L268" s="71"/>
      <c r="M268" s="71"/>
      <c r="N268" s="71"/>
      <c r="O268" s="71"/>
      <c r="P268" s="71" t="str">
        <f>IFERROR(INDEX(RECICLADORES!C:C,MATCH(D268,RECICLADORES!B:B,0)),"")</f>
        <v/>
      </c>
      <c r="Q268" s="71" t="str">
        <f>IFERROR(INDEX(RECICLADORES!O:O,MATCH(D268,RECICLADORES!B:B,0)),"")</f>
        <v/>
      </c>
      <c r="R268" s="65"/>
      <c r="S268" s="65"/>
      <c r="T268" s="71"/>
      <c r="U268" s="71"/>
      <c r="V268" s="86"/>
    </row>
    <row r="269" spans="1:22" ht="16.5" thickTop="1" thickBot="1" x14ac:dyDescent="0.3">
      <c r="A269" s="35"/>
      <c r="B269" s="4"/>
      <c r="C269" s="4"/>
      <c r="D269" s="4"/>
      <c r="E269" s="4"/>
      <c r="F269" s="4"/>
      <c r="G269" s="5"/>
      <c r="H269" s="14"/>
      <c r="I269" s="14"/>
      <c r="J269" s="29" t="str">
        <f t="shared" si="2"/>
        <v/>
      </c>
      <c r="L269" s="71"/>
      <c r="M269" s="71"/>
      <c r="N269" s="71"/>
      <c r="O269" s="71"/>
      <c r="P269" s="71" t="str">
        <f>IFERROR(INDEX(RECICLADORES!C:C,MATCH(D269,RECICLADORES!B:B,0)),"")</f>
        <v/>
      </c>
      <c r="Q269" s="71" t="str">
        <f>IFERROR(INDEX(RECICLADORES!O:O,MATCH(D269,RECICLADORES!B:B,0)),"")</f>
        <v/>
      </c>
      <c r="R269" s="65"/>
      <c r="S269" s="65"/>
      <c r="T269" s="71"/>
      <c r="U269" s="71"/>
      <c r="V269" s="86"/>
    </row>
    <row r="270" spans="1:22" ht="16.5" thickTop="1" thickBot="1" x14ac:dyDescent="0.3">
      <c r="A270" s="34"/>
      <c r="B270" s="4"/>
      <c r="C270" s="4"/>
      <c r="D270" s="4"/>
      <c r="E270" s="4"/>
      <c r="F270" s="4"/>
      <c r="G270" s="5"/>
      <c r="H270" s="14"/>
      <c r="I270" s="14"/>
      <c r="J270" s="29" t="str">
        <f t="shared" si="2"/>
        <v/>
      </c>
      <c r="L270" s="71"/>
      <c r="M270" s="71"/>
      <c r="N270" s="71"/>
      <c r="O270" s="71"/>
      <c r="P270" s="71" t="str">
        <f>IFERROR(INDEX(RECICLADORES!C:C,MATCH(D270,RECICLADORES!B:B,0)),"")</f>
        <v/>
      </c>
      <c r="Q270" s="71" t="str">
        <f>IFERROR(INDEX(RECICLADORES!O:O,MATCH(D270,RECICLADORES!B:B,0)),"")</f>
        <v/>
      </c>
      <c r="R270" s="65"/>
      <c r="S270" s="65"/>
      <c r="T270" s="71"/>
      <c r="U270" s="71"/>
      <c r="V270" s="86"/>
    </row>
    <row r="271" spans="1:22" ht="16.5" thickTop="1" thickBot="1" x14ac:dyDescent="0.3">
      <c r="A271" s="35"/>
      <c r="B271" s="4"/>
      <c r="C271" s="4"/>
      <c r="D271" s="4"/>
      <c r="E271" s="4"/>
      <c r="F271" s="4"/>
      <c r="G271" s="5"/>
      <c r="H271" s="14"/>
      <c r="I271" s="14"/>
      <c r="J271" s="29" t="str">
        <f t="shared" si="2"/>
        <v/>
      </c>
      <c r="L271" s="71"/>
      <c r="M271" s="71"/>
      <c r="N271" s="71"/>
      <c r="O271" s="71"/>
      <c r="P271" s="71" t="str">
        <f>IFERROR(INDEX(RECICLADORES!C:C,MATCH(D271,RECICLADORES!B:B,0)),"")</f>
        <v/>
      </c>
      <c r="Q271" s="71" t="str">
        <f>IFERROR(INDEX(RECICLADORES!O:O,MATCH(D271,RECICLADORES!B:B,0)),"")</f>
        <v/>
      </c>
      <c r="R271" s="65"/>
      <c r="S271" s="65"/>
      <c r="T271" s="71"/>
      <c r="U271" s="71"/>
      <c r="V271" s="86"/>
    </row>
    <row r="272" spans="1:22" ht="16.5" thickTop="1" thickBot="1" x14ac:dyDescent="0.3">
      <c r="A272" s="34"/>
      <c r="B272" s="4"/>
      <c r="C272" s="4"/>
      <c r="D272" s="4"/>
      <c r="E272" s="4"/>
      <c r="F272" s="4"/>
      <c r="G272" s="5"/>
      <c r="H272" s="14"/>
      <c r="I272" s="14"/>
      <c r="J272" s="29" t="str">
        <f t="shared" si="2"/>
        <v/>
      </c>
      <c r="L272" s="71"/>
      <c r="M272" s="71"/>
      <c r="N272" s="71"/>
      <c r="O272" s="71"/>
      <c r="P272" s="71" t="str">
        <f>IFERROR(INDEX(RECICLADORES!C:C,MATCH(D272,RECICLADORES!B:B,0)),"")</f>
        <v/>
      </c>
      <c r="Q272" s="71" t="str">
        <f>IFERROR(INDEX(RECICLADORES!O:O,MATCH(D272,RECICLADORES!B:B,0)),"")</f>
        <v/>
      </c>
      <c r="R272" s="65"/>
      <c r="S272" s="65"/>
      <c r="T272" s="71"/>
      <c r="U272" s="71"/>
      <c r="V272" s="86"/>
    </row>
    <row r="273" spans="1:22" ht="16.5" thickTop="1" thickBot="1" x14ac:dyDescent="0.3">
      <c r="A273" s="35"/>
      <c r="B273" s="4"/>
      <c r="C273" s="4"/>
      <c r="D273" s="4"/>
      <c r="E273" s="4"/>
      <c r="F273" s="4"/>
      <c r="G273" s="5"/>
      <c r="H273" s="14"/>
      <c r="I273" s="14"/>
      <c r="J273" s="29" t="str">
        <f t="shared" si="2"/>
        <v/>
      </c>
      <c r="L273" s="71"/>
      <c r="M273" s="71"/>
      <c r="N273" s="71"/>
      <c r="O273" s="71"/>
      <c r="P273" s="71" t="str">
        <f>IFERROR(INDEX(RECICLADORES!C:C,MATCH(D273,RECICLADORES!B:B,0)),"")</f>
        <v/>
      </c>
      <c r="Q273" s="71" t="str">
        <f>IFERROR(INDEX(RECICLADORES!O:O,MATCH(D273,RECICLADORES!B:B,0)),"")</f>
        <v/>
      </c>
      <c r="R273" s="65"/>
      <c r="S273" s="65"/>
      <c r="T273" s="71"/>
      <c r="U273" s="71"/>
      <c r="V273" s="86"/>
    </row>
    <row r="274" spans="1:22" ht="16.5" thickTop="1" thickBot="1" x14ac:dyDescent="0.3">
      <c r="A274" s="34"/>
      <c r="B274" s="4"/>
      <c r="C274" s="4"/>
      <c r="D274" s="4"/>
      <c r="E274" s="4"/>
      <c r="F274" s="4"/>
      <c r="G274" s="5"/>
      <c r="H274" s="14"/>
      <c r="I274" s="14"/>
      <c r="J274" s="29" t="str">
        <f t="shared" si="2"/>
        <v/>
      </c>
      <c r="L274" s="71"/>
      <c r="M274" s="71"/>
      <c r="N274" s="71"/>
      <c r="O274" s="71"/>
      <c r="P274" s="71" t="str">
        <f>IFERROR(INDEX(RECICLADORES!C:C,MATCH(D274,RECICLADORES!B:B,0)),"")</f>
        <v/>
      </c>
      <c r="Q274" s="71" t="str">
        <f>IFERROR(INDEX(RECICLADORES!O:O,MATCH(D274,RECICLADORES!B:B,0)),"")</f>
        <v/>
      </c>
      <c r="R274" s="65"/>
      <c r="S274" s="65"/>
      <c r="T274" s="71"/>
      <c r="U274" s="71"/>
      <c r="V274" s="86"/>
    </row>
    <row r="275" spans="1:22" ht="16.5" thickTop="1" thickBot="1" x14ac:dyDescent="0.3">
      <c r="A275" s="35"/>
      <c r="B275" s="4"/>
      <c r="C275" s="4"/>
      <c r="D275" s="4"/>
      <c r="E275" s="4"/>
      <c r="F275" s="4"/>
      <c r="G275" s="5"/>
      <c r="H275" s="14"/>
      <c r="I275" s="14"/>
      <c r="J275" s="29" t="str">
        <f t="shared" si="2"/>
        <v/>
      </c>
      <c r="L275" s="71"/>
      <c r="M275" s="71"/>
      <c r="N275" s="71"/>
      <c r="O275" s="71"/>
      <c r="P275" s="71" t="str">
        <f>IFERROR(INDEX(RECICLADORES!C:C,MATCH(D275,RECICLADORES!B:B,0)),"")</f>
        <v/>
      </c>
      <c r="Q275" s="71" t="str">
        <f>IFERROR(INDEX(RECICLADORES!O:O,MATCH(D275,RECICLADORES!B:B,0)),"")</f>
        <v/>
      </c>
      <c r="R275" s="65"/>
      <c r="S275" s="65"/>
      <c r="T275" s="71"/>
      <c r="U275" s="71"/>
      <c r="V275" s="86"/>
    </row>
    <row r="276" spans="1:22" ht="16.5" thickTop="1" thickBot="1" x14ac:dyDescent="0.3">
      <c r="A276" s="34"/>
      <c r="B276" s="4"/>
      <c r="C276" s="4"/>
      <c r="D276" s="4"/>
      <c r="E276" s="4"/>
      <c r="F276" s="4"/>
      <c r="G276" s="5"/>
      <c r="H276" s="14"/>
      <c r="I276" s="14"/>
      <c r="J276" s="29" t="str">
        <f t="shared" si="2"/>
        <v/>
      </c>
      <c r="L276" s="71"/>
      <c r="M276" s="71"/>
      <c r="N276" s="71"/>
      <c r="O276" s="71"/>
      <c r="P276" s="71" t="str">
        <f>IFERROR(INDEX(RECICLADORES!C:C,MATCH(D276,RECICLADORES!B:B,0)),"")</f>
        <v/>
      </c>
      <c r="Q276" s="71" t="str">
        <f>IFERROR(INDEX(RECICLADORES!O:O,MATCH(D276,RECICLADORES!B:B,0)),"")</f>
        <v/>
      </c>
      <c r="R276" s="65"/>
      <c r="S276" s="65"/>
      <c r="T276" s="71"/>
      <c r="U276" s="71"/>
      <c r="V276" s="86"/>
    </row>
    <row r="277" spans="1:22" ht="16.5" thickTop="1" thickBot="1" x14ac:dyDescent="0.3">
      <c r="A277" s="35"/>
      <c r="B277" s="4"/>
      <c r="C277" s="4"/>
      <c r="D277" s="4"/>
      <c r="E277" s="4"/>
      <c r="F277" s="4"/>
      <c r="G277" s="5"/>
      <c r="H277" s="14"/>
      <c r="I277" s="14"/>
      <c r="J277" s="29" t="str">
        <f t="shared" si="2"/>
        <v/>
      </c>
      <c r="L277" s="71"/>
      <c r="M277" s="71"/>
      <c r="N277" s="71"/>
      <c r="O277" s="71"/>
      <c r="P277" s="71" t="str">
        <f>IFERROR(INDEX(RECICLADORES!C:C,MATCH(D277,RECICLADORES!B:B,0)),"")</f>
        <v/>
      </c>
      <c r="Q277" s="71" t="str">
        <f>IFERROR(INDEX(RECICLADORES!O:O,MATCH(D277,RECICLADORES!B:B,0)),"")</f>
        <v/>
      </c>
      <c r="R277" s="65"/>
      <c r="S277" s="65"/>
      <c r="T277" s="71"/>
      <c r="U277" s="71"/>
      <c r="V277" s="86"/>
    </row>
    <row r="278" spans="1:22" ht="16.5" thickTop="1" thickBot="1" x14ac:dyDescent="0.3">
      <c r="A278" s="34"/>
      <c r="B278" s="4"/>
      <c r="C278" s="4"/>
      <c r="D278" s="4"/>
      <c r="E278" s="4"/>
      <c r="F278" s="4"/>
      <c r="G278" s="5"/>
      <c r="H278" s="14"/>
      <c r="I278" s="14"/>
      <c r="J278" s="29" t="str">
        <f t="shared" si="2"/>
        <v/>
      </c>
      <c r="L278" s="71"/>
      <c r="M278" s="71"/>
      <c r="N278" s="71"/>
      <c r="O278" s="71"/>
      <c r="P278" s="71" t="str">
        <f>IFERROR(INDEX(RECICLADORES!C:C,MATCH(D278,RECICLADORES!B:B,0)),"")</f>
        <v/>
      </c>
      <c r="Q278" s="71" t="str">
        <f>IFERROR(INDEX(RECICLADORES!O:O,MATCH(D278,RECICLADORES!B:B,0)),"")</f>
        <v/>
      </c>
      <c r="R278" s="65"/>
      <c r="S278" s="65"/>
      <c r="T278" s="71"/>
      <c r="U278" s="71"/>
      <c r="V278" s="86"/>
    </row>
    <row r="279" spans="1:22" ht="16.5" thickTop="1" thickBot="1" x14ac:dyDescent="0.3">
      <c r="A279" s="35"/>
      <c r="B279" s="4"/>
      <c r="C279" s="4"/>
      <c r="D279" s="4"/>
      <c r="E279" s="4"/>
      <c r="F279" s="4"/>
      <c r="G279" s="5"/>
      <c r="H279" s="14"/>
      <c r="I279" s="14"/>
      <c r="J279" s="29" t="str">
        <f t="shared" si="2"/>
        <v/>
      </c>
      <c r="L279" s="71"/>
      <c r="M279" s="71"/>
      <c r="N279" s="71"/>
      <c r="O279" s="71"/>
      <c r="P279" s="71" t="str">
        <f>IFERROR(INDEX(RECICLADORES!C:C,MATCH(D279,RECICLADORES!B:B,0)),"")</f>
        <v/>
      </c>
      <c r="Q279" s="71" t="str">
        <f>IFERROR(INDEX(RECICLADORES!O:O,MATCH(D279,RECICLADORES!B:B,0)),"")</f>
        <v/>
      </c>
      <c r="R279" s="65"/>
      <c r="S279" s="65"/>
      <c r="T279" s="71"/>
      <c r="U279" s="71"/>
      <c r="V279" s="86"/>
    </row>
    <row r="280" spans="1:22" ht="16.5" thickTop="1" thickBot="1" x14ac:dyDescent="0.3">
      <c r="A280" s="35"/>
      <c r="B280" s="4"/>
      <c r="C280" s="4"/>
      <c r="D280" s="4"/>
      <c r="E280" s="4"/>
      <c r="F280" s="4"/>
      <c r="G280" s="5"/>
      <c r="H280" s="14"/>
      <c r="I280" s="14"/>
      <c r="J280" s="29" t="str">
        <f t="shared" si="2"/>
        <v/>
      </c>
      <c r="L280" s="71"/>
      <c r="M280" s="71"/>
      <c r="N280" s="71"/>
      <c r="O280" s="71"/>
      <c r="P280" s="71" t="str">
        <f>IFERROR(INDEX(RECICLADORES!C:C,MATCH(D280,RECICLADORES!B:B,0)),"")</f>
        <v/>
      </c>
      <c r="Q280" s="71" t="str">
        <f>IFERROR(INDEX(RECICLADORES!O:O,MATCH(D280,RECICLADORES!B:B,0)),"")</f>
        <v/>
      </c>
      <c r="R280" s="65"/>
      <c r="S280" s="65"/>
      <c r="T280" s="71"/>
      <c r="U280" s="71"/>
      <c r="V280" s="86"/>
    </row>
    <row r="281" spans="1:22" ht="16.5" thickTop="1" thickBot="1" x14ac:dyDescent="0.3">
      <c r="A281" s="34"/>
      <c r="B281" s="4"/>
      <c r="C281" s="4"/>
      <c r="D281" s="4"/>
      <c r="E281" s="4"/>
      <c r="F281" s="4"/>
      <c r="G281" s="5"/>
      <c r="H281" s="14"/>
      <c r="I281" s="14"/>
      <c r="J281" s="29" t="str">
        <f t="shared" si="2"/>
        <v/>
      </c>
      <c r="L281" s="71"/>
      <c r="M281" s="71"/>
      <c r="N281" s="71"/>
      <c r="O281" s="71"/>
      <c r="P281" s="71" t="str">
        <f>IFERROR(INDEX(RECICLADORES!C:C,MATCH(D281,RECICLADORES!B:B,0)),"")</f>
        <v/>
      </c>
      <c r="Q281" s="71" t="str">
        <f>IFERROR(INDEX(RECICLADORES!O:O,MATCH(D281,RECICLADORES!B:B,0)),"")</f>
        <v/>
      </c>
      <c r="R281" s="65"/>
      <c r="S281" s="65"/>
      <c r="T281" s="71"/>
      <c r="U281" s="71"/>
      <c r="V281" s="86"/>
    </row>
    <row r="282" spans="1:22" ht="16.5" thickTop="1" thickBot="1" x14ac:dyDescent="0.3">
      <c r="A282" s="35"/>
      <c r="B282" s="4"/>
      <c r="C282" s="4"/>
      <c r="D282" s="4"/>
      <c r="E282" s="4"/>
      <c r="F282" s="4"/>
      <c r="G282" s="5"/>
      <c r="H282" s="14"/>
      <c r="I282" s="14"/>
      <c r="J282" s="29" t="str">
        <f t="shared" si="2"/>
        <v/>
      </c>
      <c r="L282" s="71"/>
      <c r="M282" s="71"/>
      <c r="N282" s="71"/>
      <c r="O282" s="71"/>
      <c r="P282" s="71" t="str">
        <f>IFERROR(INDEX(RECICLADORES!C:C,MATCH(D282,RECICLADORES!B:B,0)),"")</f>
        <v/>
      </c>
      <c r="Q282" s="71" t="str">
        <f>IFERROR(INDEX(RECICLADORES!O:O,MATCH(D282,RECICLADORES!B:B,0)),"")</f>
        <v/>
      </c>
      <c r="R282" s="65"/>
      <c r="S282" s="65"/>
      <c r="T282" s="71"/>
      <c r="U282" s="71"/>
      <c r="V282" s="86"/>
    </row>
    <row r="283" spans="1:22" ht="16.5" thickTop="1" thickBot="1" x14ac:dyDescent="0.3">
      <c r="A283" s="34"/>
      <c r="B283" s="4"/>
      <c r="C283" s="4"/>
      <c r="D283" s="4"/>
      <c r="E283" s="4"/>
      <c r="F283" s="4"/>
      <c r="G283" s="5"/>
      <c r="H283" s="14"/>
      <c r="I283" s="14"/>
      <c r="J283" s="29" t="str">
        <f t="shared" si="2"/>
        <v/>
      </c>
      <c r="L283" s="71"/>
      <c r="M283" s="71"/>
      <c r="N283" s="71"/>
      <c r="O283" s="71"/>
      <c r="P283" s="71" t="str">
        <f>IFERROR(INDEX(RECICLADORES!C:C,MATCH(D283,RECICLADORES!B:B,0)),"")</f>
        <v/>
      </c>
      <c r="Q283" s="71" t="str">
        <f>IFERROR(INDEX(RECICLADORES!O:O,MATCH(D283,RECICLADORES!B:B,0)),"")</f>
        <v/>
      </c>
      <c r="R283" s="65"/>
      <c r="S283" s="65"/>
      <c r="T283" s="71"/>
      <c r="U283" s="71"/>
      <c r="V283" s="86"/>
    </row>
    <row r="284" spans="1:22" ht="16.5" thickTop="1" thickBot="1" x14ac:dyDescent="0.3">
      <c r="A284" s="35"/>
      <c r="B284" s="4"/>
      <c r="C284" s="4"/>
      <c r="D284" s="4"/>
      <c r="E284" s="4"/>
      <c r="F284" s="4"/>
      <c r="G284" s="5"/>
      <c r="H284" s="14"/>
      <c r="I284" s="14"/>
      <c r="J284" s="29" t="str">
        <f t="shared" si="2"/>
        <v/>
      </c>
      <c r="L284" s="71"/>
      <c r="M284" s="71"/>
      <c r="N284" s="71"/>
      <c r="O284" s="71"/>
      <c r="P284" s="71" t="str">
        <f>IFERROR(INDEX(RECICLADORES!C:C,MATCH(D284,RECICLADORES!B:B,0)),"")</f>
        <v/>
      </c>
      <c r="Q284" s="71" t="str">
        <f>IFERROR(INDEX(RECICLADORES!O:O,MATCH(D284,RECICLADORES!B:B,0)),"")</f>
        <v/>
      </c>
      <c r="R284" s="65"/>
      <c r="S284" s="65"/>
      <c r="T284" s="71"/>
      <c r="U284" s="71"/>
      <c r="V284" s="86"/>
    </row>
    <row r="285" spans="1:22" ht="16.5" thickTop="1" thickBot="1" x14ac:dyDescent="0.3">
      <c r="A285" s="34"/>
      <c r="B285" s="4"/>
      <c r="C285" s="4"/>
      <c r="D285" s="4"/>
      <c r="E285" s="4"/>
      <c r="F285" s="4"/>
      <c r="G285" s="5"/>
      <c r="H285" s="14"/>
      <c r="I285" s="14"/>
      <c r="J285" s="29" t="str">
        <f t="shared" si="2"/>
        <v/>
      </c>
      <c r="L285" s="71"/>
      <c r="M285" s="71"/>
      <c r="N285" s="71"/>
      <c r="O285" s="71"/>
      <c r="P285" s="71" t="str">
        <f>IFERROR(INDEX(RECICLADORES!C:C,MATCH(D285,RECICLADORES!B:B,0)),"")</f>
        <v/>
      </c>
      <c r="Q285" s="71" t="str">
        <f>IFERROR(INDEX(RECICLADORES!O:O,MATCH(D285,RECICLADORES!B:B,0)),"")</f>
        <v/>
      </c>
      <c r="R285" s="65"/>
      <c r="S285" s="65"/>
      <c r="T285" s="71"/>
      <c r="U285" s="71"/>
      <c r="V285" s="86"/>
    </row>
    <row r="286" spans="1:22" ht="16.5" thickTop="1" thickBot="1" x14ac:dyDescent="0.3">
      <c r="A286" s="35"/>
      <c r="B286" s="4"/>
      <c r="C286" s="4"/>
      <c r="D286" s="4"/>
      <c r="E286" s="4"/>
      <c r="F286" s="4"/>
      <c r="G286" s="5"/>
      <c r="H286" s="14"/>
      <c r="I286" s="14"/>
      <c r="J286" s="29" t="str">
        <f t="shared" si="2"/>
        <v/>
      </c>
      <c r="L286" s="71"/>
      <c r="M286" s="71"/>
      <c r="N286" s="71"/>
      <c r="O286" s="71"/>
      <c r="P286" s="71" t="str">
        <f>IFERROR(INDEX(RECICLADORES!C:C,MATCH(D286,RECICLADORES!B:B,0)),"")</f>
        <v/>
      </c>
      <c r="Q286" s="71" t="str">
        <f>IFERROR(INDEX(RECICLADORES!O:O,MATCH(D286,RECICLADORES!B:B,0)),"")</f>
        <v/>
      </c>
      <c r="R286" s="65"/>
      <c r="S286" s="65"/>
      <c r="T286" s="71"/>
      <c r="U286" s="71"/>
      <c r="V286" s="86"/>
    </row>
    <row r="287" spans="1:22" ht="16.5" thickTop="1" thickBot="1" x14ac:dyDescent="0.3">
      <c r="A287" s="34"/>
      <c r="B287" s="4"/>
      <c r="C287" s="4"/>
      <c r="D287" s="4"/>
      <c r="E287" s="4"/>
      <c r="F287" s="4"/>
      <c r="G287" s="5"/>
      <c r="H287" s="14"/>
      <c r="I287" s="14"/>
      <c r="J287" s="29" t="str">
        <f t="shared" si="2"/>
        <v/>
      </c>
      <c r="L287" s="71"/>
      <c r="M287" s="71"/>
      <c r="N287" s="71"/>
      <c r="O287" s="71"/>
      <c r="P287" s="71" t="str">
        <f>IFERROR(INDEX(RECICLADORES!C:C,MATCH(D287,RECICLADORES!B:B,0)),"")</f>
        <v/>
      </c>
      <c r="Q287" s="71" t="str">
        <f>IFERROR(INDEX(RECICLADORES!O:O,MATCH(D287,RECICLADORES!B:B,0)),"")</f>
        <v/>
      </c>
      <c r="R287" s="65"/>
      <c r="S287" s="65"/>
      <c r="T287" s="71"/>
      <c r="U287" s="71"/>
      <c r="V287" s="86"/>
    </row>
    <row r="288" spans="1:22" ht="16.5" thickTop="1" thickBot="1" x14ac:dyDescent="0.3">
      <c r="A288" s="35"/>
      <c r="B288" s="4"/>
      <c r="C288" s="4"/>
      <c r="D288" s="4"/>
      <c r="E288" s="4"/>
      <c r="F288" s="4"/>
      <c r="G288" s="5"/>
      <c r="H288" s="14"/>
      <c r="I288" s="14"/>
      <c r="J288" s="29" t="str">
        <f t="shared" si="2"/>
        <v/>
      </c>
      <c r="L288" s="71"/>
      <c r="M288" s="71"/>
      <c r="N288" s="71"/>
      <c r="O288" s="71"/>
      <c r="P288" s="71" t="str">
        <f>IFERROR(INDEX(RECICLADORES!C:C,MATCH(D288,RECICLADORES!B:B,0)),"")</f>
        <v/>
      </c>
      <c r="Q288" s="71" t="str">
        <f>IFERROR(INDEX(RECICLADORES!O:O,MATCH(D288,RECICLADORES!B:B,0)),"")</f>
        <v/>
      </c>
      <c r="R288" s="65"/>
      <c r="S288" s="65"/>
      <c r="T288" s="71"/>
      <c r="U288" s="71"/>
      <c r="V288" s="86"/>
    </row>
    <row r="289" spans="1:22" ht="16.5" thickTop="1" thickBot="1" x14ac:dyDescent="0.3">
      <c r="A289" s="34"/>
      <c r="B289" s="4"/>
      <c r="C289" s="4"/>
      <c r="D289" s="4"/>
      <c r="E289" s="4"/>
      <c r="F289" s="4"/>
      <c r="G289" s="5"/>
      <c r="H289" s="14"/>
      <c r="I289" s="14"/>
      <c r="J289" s="29" t="str">
        <f t="shared" si="2"/>
        <v/>
      </c>
      <c r="L289" s="71"/>
      <c r="M289" s="71"/>
      <c r="N289" s="71"/>
      <c r="O289" s="71"/>
      <c r="P289" s="71" t="str">
        <f>IFERROR(INDEX(RECICLADORES!C:C,MATCH(D289,RECICLADORES!B:B,0)),"")</f>
        <v/>
      </c>
      <c r="Q289" s="71" t="str">
        <f>IFERROR(INDEX(RECICLADORES!O:O,MATCH(D289,RECICLADORES!B:B,0)),"")</f>
        <v/>
      </c>
      <c r="R289" s="65"/>
      <c r="S289" s="65"/>
      <c r="T289" s="71"/>
      <c r="U289" s="71"/>
      <c r="V289" s="86"/>
    </row>
    <row r="290" spans="1:22" ht="16.5" thickTop="1" thickBot="1" x14ac:dyDescent="0.3">
      <c r="A290" s="35"/>
      <c r="B290" s="4"/>
      <c r="C290" s="4"/>
      <c r="D290" s="4"/>
      <c r="E290" s="4"/>
      <c r="F290" s="4"/>
      <c r="G290" s="5"/>
      <c r="H290" s="14"/>
      <c r="I290" s="14"/>
      <c r="J290" s="29" t="str">
        <f t="shared" si="2"/>
        <v/>
      </c>
      <c r="L290" s="71"/>
      <c r="M290" s="71"/>
      <c r="N290" s="71"/>
      <c r="O290" s="71"/>
      <c r="P290" s="71" t="str">
        <f>IFERROR(INDEX(RECICLADORES!C:C,MATCH(D290,RECICLADORES!B:B,0)),"")</f>
        <v/>
      </c>
      <c r="Q290" s="71" t="str">
        <f>IFERROR(INDEX(RECICLADORES!O:O,MATCH(D290,RECICLADORES!B:B,0)),"")</f>
        <v/>
      </c>
      <c r="R290" s="65"/>
      <c r="S290" s="65"/>
      <c r="T290" s="71"/>
      <c r="U290" s="71"/>
      <c r="V290" s="86"/>
    </row>
    <row r="291" spans="1:22" ht="16.5" thickTop="1" thickBot="1" x14ac:dyDescent="0.3">
      <c r="A291" s="34"/>
      <c r="B291" s="4"/>
      <c r="C291" s="4"/>
      <c r="D291" s="4"/>
      <c r="E291" s="4"/>
      <c r="F291" s="4"/>
      <c r="G291" s="5"/>
      <c r="H291" s="14"/>
      <c r="I291" s="14"/>
      <c r="J291" s="29" t="str">
        <f t="shared" si="2"/>
        <v/>
      </c>
      <c r="L291" s="71"/>
      <c r="M291" s="71"/>
      <c r="N291" s="71"/>
      <c r="O291" s="71"/>
      <c r="P291" s="71" t="str">
        <f>IFERROR(INDEX(RECICLADORES!C:C,MATCH(D291,RECICLADORES!B:B,0)),"")</f>
        <v/>
      </c>
      <c r="Q291" s="71" t="str">
        <f>IFERROR(INDEX(RECICLADORES!O:O,MATCH(D291,RECICLADORES!B:B,0)),"")</f>
        <v/>
      </c>
      <c r="R291" s="65"/>
      <c r="S291" s="65"/>
      <c r="T291" s="71"/>
      <c r="U291" s="71"/>
      <c r="V291" s="86"/>
    </row>
    <row r="292" spans="1:22" ht="16.5" thickTop="1" thickBot="1" x14ac:dyDescent="0.3">
      <c r="A292" s="35"/>
      <c r="B292" s="4"/>
      <c r="C292" s="4"/>
      <c r="D292" s="4"/>
      <c r="E292" s="4"/>
      <c r="F292" s="4"/>
      <c r="G292" s="5"/>
      <c r="H292" s="14"/>
      <c r="I292" s="14"/>
      <c r="J292" s="29" t="str">
        <f t="shared" si="2"/>
        <v/>
      </c>
      <c r="L292" s="71"/>
      <c r="M292" s="71"/>
      <c r="N292" s="71"/>
      <c r="O292" s="71"/>
      <c r="P292" s="71" t="str">
        <f>IFERROR(INDEX(RECICLADORES!C:C,MATCH(D292,RECICLADORES!B:B,0)),"")</f>
        <v/>
      </c>
      <c r="Q292" s="71" t="str">
        <f>IFERROR(INDEX(RECICLADORES!O:O,MATCH(D292,RECICLADORES!B:B,0)),"")</f>
        <v/>
      </c>
      <c r="R292" s="65"/>
      <c r="S292" s="65"/>
      <c r="T292" s="71"/>
      <c r="U292" s="71"/>
      <c r="V292" s="86"/>
    </row>
    <row r="293" spans="1:22" ht="16.5" thickTop="1" thickBot="1" x14ac:dyDescent="0.3">
      <c r="A293" s="34"/>
      <c r="B293" s="4"/>
      <c r="C293" s="4"/>
      <c r="D293" s="4"/>
      <c r="E293" s="4"/>
      <c r="F293" s="4"/>
      <c r="G293" s="5"/>
      <c r="H293" s="14"/>
      <c r="I293" s="14"/>
      <c r="J293" s="29" t="str">
        <f t="shared" si="2"/>
        <v/>
      </c>
      <c r="L293" s="71"/>
      <c r="M293" s="71"/>
      <c r="N293" s="71"/>
      <c r="O293" s="71"/>
      <c r="P293" s="71" t="str">
        <f>IFERROR(INDEX(RECICLADORES!C:C,MATCH(D293,RECICLADORES!B:B,0)),"")</f>
        <v/>
      </c>
      <c r="Q293" s="71" t="str">
        <f>IFERROR(INDEX(RECICLADORES!O:O,MATCH(D293,RECICLADORES!B:B,0)),"")</f>
        <v/>
      </c>
      <c r="R293" s="65"/>
      <c r="S293" s="65"/>
      <c r="T293" s="71"/>
      <c r="U293" s="71"/>
      <c r="V293" s="86"/>
    </row>
    <row r="294" spans="1:22" ht="16.5" thickTop="1" thickBot="1" x14ac:dyDescent="0.3">
      <c r="A294" s="35"/>
      <c r="B294" s="4"/>
      <c r="C294" s="4"/>
      <c r="D294" s="4"/>
      <c r="E294" s="4"/>
      <c r="F294" s="4"/>
      <c r="G294" s="5"/>
      <c r="H294" s="14"/>
      <c r="I294" s="14"/>
      <c r="J294" s="29" t="str">
        <f t="shared" si="2"/>
        <v/>
      </c>
      <c r="L294" s="71"/>
      <c r="M294" s="71"/>
      <c r="N294" s="71"/>
      <c r="O294" s="71"/>
      <c r="P294" s="71" t="str">
        <f>IFERROR(INDEX(RECICLADORES!C:C,MATCH(D294,RECICLADORES!B:B,0)),"")</f>
        <v/>
      </c>
      <c r="Q294" s="71" t="str">
        <f>IFERROR(INDEX(RECICLADORES!O:O,MATCH(D294,RECICLADORES!B:B,0)),"")</f>
        <v/>
      </c>
      <c r="R294" s="65"/>
      <c r="S294" s="65"/>
      <c r="T294" s="71"/>
      <c r="U294" s="71"/>
      <c r="V294" s="86"/>
    </row>
    <row r="295" spans="1:22" ht="16.5" thickTop="1" thickBot="1" x14ac:dyDescent="0.3">
      <c r="A295" s="34"/>
      <c r="B295" s="4"/>
      <c r="C295" s="4"/>
      <c r="D295" s="4"/>
      <c r="E295" s="4"/>
      <c r="F295" s="4"/>
      <c r="G295" s="5"/>
      <c r="H295" s="14"/>
      <c r="I295" s="14"/>
      <c r="J295" s="29" t="str">
        <f t="shared" si="2"/>
        <v/>
      </c>
      <c r="L295" s="71"/>
      <c r="M295" s="71"/>
      <c r="N295" s="71"/>
      <c r="O295" s="71"/>
      <c r="P295" s="71" t="str">
        <f>IFERROR(INDEX(RECICLADORES!C:C,MATCH(D295,RECICLADORES!B:B,0)),"")</f>
        <v/>
      </c>
      <c r="Q295" s="71" t="str">
        <f>IFERROR(INDEX(RECICLADORES!O:O,MATCH(D295,RECICLADORES!B:B,0)),"")</f>
        <v/>
      </c>
      <c r="R295" s="65"/>
      <c r="S295" s="65"/>
      <c r="T295" s="71"/>
      <c r="U295" s="71"/>
      <c r="V295" s="86"/>
    </row>
    <row r="296" spans="1:22" ht="16.5" thickTop="1" thickBot="1" x14ac:dyDescent="0.3">
      <c r="A296" s="35"/>
      <c r="B296" s="4"/>
      <c r="C296" s="4"/>
      <c r="D296" s="4"/>
      <c r="E296" s="4"/>
      <c r="F296" s="4"/>
      <c r="G296" s="5"/>
      <c r="H296" s="14"/>
      <c r="I296" s="14"/>
      <c r="J296" s="29" t="str">
        <f t="shared" si="2"/>
        <v/>
      </c>
      <c r="L296" s="71"/>
      <c r="M296" s="71"/>
      <c r="N296" s="71"/>
      <c r="O296" s="71"/>
      <c r="P296" s="71" t="str">
        <f>IFERROR(INDEX(RECICLADORES!C:C,MATCH(D296,RECICLADORES!B:B,0)),"")</f>
        <v/>
      </c>
      <c r="Q296" s="71" t="str">
        <f>IFERROR(INDEX(RECICLADORES!O:O,MATCH(D296,RECICLADORES!B:B,0)),"")</f>
        <v/>
      </c>
      <c r="R296" s="65"/>
      <c r="S296" s="65"/>
      <c r="T296" s="71"/>
      <c r="U296" s="71"/>
      <c r="V296" s="86"/>
    </row>
    <row r="297" spans="1:22" ht="16.5" thickTop="1" thickBot="1" x14ac:dyDescent="0.3">
      <c r="A297" s="34"/>
      <c r="B297" s="4"/>
      <c r="C297" s="4"/>
      <c r="D297" s="4"/>
      <c r="E297" s="4"/>
      <c r="F297" s="4"/>
      <c r="G297" s="5"/>
      <c r="H297" s="14"/>
      <c r="I297" s="14"/>
      <c r="J297" s="29" t="str">
        <f t="shared" si="2"/>
        <v/>
      </c>
      <c r="L297" s="71"/>
      <c r="M297" s="71"/>
      <c r="N297" s="71"/>
      <c r="O297" s="71"/>
      <c r="P297" s="71" t="str">
        <f>IFERROR(INDEX(RECICLADORES!C:C,MATCH(D297,RECICLADORES!B:B,0)),"")</f>
        <v/>
      </c>
      <c r="Q297" s="71" t="str">
        <f>IFERROR(INDEX(RECICLADORES!O:O,MATCH(D297,RECICLADORES!B:B,0)),"")</f>
        <v/>
      </c>
      <c r="R297" s="65"/>
      <c r="S297" s="65"/>
      <c r="T297" s="71"/>
      <c r="U297" s="71"/>
      <c r="V297" s="86"/>
    </row>
    <row r="298" spans="1:22" ht="16.5" thickTop="1" thickBot="1" x14ac:dyDescent="0.3">
      <c r="A298" s="35"/>
      <c r="B298" s="4"/>
      <c r="C298" s="4"/>
      <c r="D298" s="4"/>
      <c r="E298" s="4"/>
      <c r="F298" s="4"/>
      <c r="G298" s="5"/>
      <c r="H298" s="14"/>
      <c r="I298" s="14"/>
      <c r="J298" s="29" t="str">
        <f t="shared" si="2"/>
        <v/>
      </c>
      <c r="L298" s="71"/>
      <c r="M298" s="71"/>
      <c r="N298" s="71"/>
      <c r="O298" s="71"/>
      <c r="P298" s="71" t="str">
        <f>IFERROR(INDEX(RECICLADORES!C:C,MATCH(D298,RECICLADORES!B:B,0)),"")</f>
        <v/>
      </c>
      <c r="Q298" s="71" t="str">
        <f>IFERROR(INDEX(RECICLADORES!O:O,MATCH(D298,RECICLADORES!B:B,0)),"")</f>
        <v/>
      </c>
      <c r="R298" s="65"/>
      <c r="S298" s="65"/>
      <c r="T298" s="71"/>
      <c r="U298" s="71"/>
      <c r="V298" s="86"/>
    </row>
    <row r="299" spans="1:22" ht="16.5" thickTop="1" thickBot="1" x14ac:dyDescent="0.3">
      <c r="A299" s="34"/>
      <c r="B299" s="4"/>
      <c r="C299" s="4"/>
      <c r="D299" s="4"/>
      <c r="E299" s="4"/>
      <c r="F299" s="4"/>
      <c r="G299" s="5"/>
      <c r="H299" s="14"/>
      <c r="I299" s="14"/>
      <c r="J299" s="29" t="str">
        <f t="shared" ref="J299:J362" si="3">IF(C299="","",INT((DAY(C299)-1)/7)+1)</f>
        <v/>
      </c>
      <c r="L299" s="71"/>
      <c r="M299" s="71"/>
      <c r="N299" s="71"/>
      <c r="O299" s="71"/>
      <c r="P299" s="71" t="str">
        <f>IFERROR(INDEX(RECICLADORES!C:C,MATCH(D299,RECICLADORES!B:B,0)),"")</f>
        <v/>
      </c>
      <c r="Q299" s="71" t="str">
        <f>IFERROR(INDEX(RECICLADORES!O:O,MATCH(D299,RECICLADORES!B:B,0)),"")</f>
        <v/>
      </c>
      <c r="R299" s="65"/>
      <c r="S299" s="65"/>
      <c r="T299" s="71"/>
      <c r="U299" s="71"/>
      <c r="V299" s="86"/>
    </row>
    <row r="300" spans="1:22" ht="16.5" thickTop="1" thickBot="1" x14ac:dyDescent="0.3">
      <c r="A300" s="35"/>
      <c r="B300" s="4"/>
      <c r="C300" s="4"/>
      <c r="D300" s="4"/>
      <c r="E300" s="4"/>
      <c r="F300" s="4"/>
      <c r="G300" s="5"/>
      <c r="H300" s="14"/>
      <c r="I300" s="14"/>
      <c r="J300" s="29" t="str">
        <f t="shared" si="3"/>
        <v/>
      </c>
      <c r="L300" s="71"/>
      <c r="M300" s="71"/>
      <c r="N300" s="71"/>
      <c r="O300" s="71"/>
      <c r="P300" s="71" t="str">
        <f>IFERROR(INDEX(RECICLADORES!C:C,MATCH(D300,RECICLADORES!B:B,0)),"")</f>
        <v/>
      </c>
      <c r="Q300" s="71" t="str">
        <f>IFERROR(INDEX(RECICLADORES!O:O,MATCH(D300,RECICLADORES!B:B,0)),"")</f>
        <v/>
      </c>
      <c r="R300" s="65"/>
      <c r="S300" s="65"/>
      <c r="T300" s="71"/>
      <c r="U300" s="71"/>
      <c r="V300" s="86"/>
    </row>
    <row r="301" spans="1:22" ht="16.5" thickTop="1" thickBot="1" x14ac:dyDescent="0.3">
      <c r="A301" s="34"/>
      <c r="B301" s="4"/>
      <c r="C301" s="4"/>
      <c r="D301" s="4"/>
      <c r="E301" s="4"/>
      <c r="F301" s="4"/>
      <c r="G301" s="5"/>
      <c r="H301" s="14"/>
      <c r="I301" s="14"/>
      <c r="J301" s="29" t="str">
        <f t="shared" si="3"/>
        <v/>
      </c>
      <c r="L301" s="71"/>
      <c r="M301" s="71"/>
      <c r="N301" s="71"/>
      <c r="O301" s="71"/>
      <c r="P301" s="71" t="str">
        <f>IFERROR(INDEX(RECICLADORES!C:C,MATCH(D301,RECICLADORES!B:B,0)),"")</f>
        <v/>
      </c>
      <c r="Q301" s="71" t="str">
        <f>IFERROR(INDEX(RECICLADORES!O:O,MATCH(D301,RECICLADORES!B:B,0)),"")</f>
        <v/>
      </c>
      <c r="R301" s="65"/>
      <c r="S301" s="65"/>
      <c r="T301" s="71"/>
      <c r="U301" s="71"/>
      <c r="V301" s="86"/>
    </row>
    <row r="302" spans="1:22" ht="16.5" thickTop="1" thickBot="1" x14ac:dyDescent="0.3">
      <c r="A302" s="35"/>
      <c r="B302" s="4"/>
      <c r="C302" s="4"/>
      <c r="D302" s="4"/>
      <c r="E302" s="4"/>
      <c r="F302" s="4"/>
      <c r="G302" s="5"/>
      <c r="H302" s="14"/>
      <c r="I302" s="14"/>
      <c r="J302" s="29" t="str">
        <f t="shared" si="3"/>
        <v/>
      </c>
      <c r="L302" s="71"/>
      <c r="M302" s="71"/>
      <c r="N302" s="71"/>
      <c r="O302" s="71"/>
      <c r="P302" s="71" t="str">
        <f>IFERROR(INDEX(RECICLADORES!C:C,MATCH(D302,RECICLADORES!B:B,0)),"")</f>
        <v/>
      </c>
      <c r="Q302" s="71" t="str">
        <f>IFERROR(INDEX(RECICLADORES!O:O,MATCH(D302,RECICLADORES!B:B,0)),"")</f>
        <v/>
      </c>
      <c r="R302" s="65"/>
      <c r="S302" s="65"/>
      <c r="T302" s="71"/>
      <c r="U302" s="71"/>
      <c r="V302" s="86"/>
    </row>
    <row r="303" spans="1:22" ht="16.5" thickTop="1" thickBot="1" x14ac:dyDescent="0.3">
      <c r="A303" s="34"/>
      <c r="B303" s="4"/>
      <c r="C303" s="4"/>
      <c r="D303" s="4"/>
      <c r="E303" s="4"/>
      <c r="F303" s="4"/>
      <c r="G303" s="5"/>
      <c r="H303" s="14"/>
      <c r="I303" s="14"/>
      <c r="J303" s="29" t="str">
        <f t="shared" si="3"/>
        <v/>
      </c>
      <c r="L303" s="71"/>
      <c r="M303" s="71"/>
      <c r="N303" s="71"/>
      <c r="O303" s="71"/>
      <c r="P303" s="71" t="str">
        <f>IFERROR(INDEX(RECICLADORES!C:C,MATCH(D303,RECICLADORES!B:B,0)),"")</f>
        <v/>
      </c>
      <c r="Q303" s="71" t="str">
        <f>IFERROR(INDEX(RECICLADORES!O:O,MATCH(D303,RECICLADORES!B:B,0)),"")</f>
        <v/>
      </c>
      <c r="R303" s="65"/>
      <c r="S303" s="65"/>
      <c r="T303" s="71"/>
      <c r="U303" s="71"/>
      <c r="V303" s="86"/>
    </row>
    <row r="304" spans="1:22" ht="16.5" thickTop="1" thickBot="1" x14ac:dyDescent="0.3">
      <c r="A304" s="35"/>
      <c r="B304" s="4"/>
      <c r="C304" s="4"/>
      <c r="D304" s="4"/>
      <c r="E304" s="4"/>
      <c r="F304" s="4"/>
      <c r="G304" s="5"/>
      <c r="H304" s="14"/>
      <c r="I304" s="14"/>
      <c r="J304" s="29" t="str">
        <f t="shared" si="3"/>
        <v/>
      </c>
      <c r="L304" s="71"/>
      <c r="M304" s="71"/>
      <c r="N304" s="71"/>
      <c r="O304" s="71"/>
      <c r="P304" s="71" t="str">
        <f>IFERROR(INDEX(RECICLADORES!C:C,MATCH(D304,RECICLADORES!B:B,0)),"")</f>
        <v/>
      </c>
      <c r="Q304" s="71" t="str">
        <f>IFERROR(INDEX(RECICLADORES!O:O,MATCH(D304,RECICLADORES!B:B,0)),"")</f>
        <v/>
      </c>
      <c r="R304" s="65"/>
      <c r="S304" s="65"/>
      <c r="T304" s="71"/>
      <c r="U304" s="71"/>
      <c r="V304" s="86"/>
    </row>
    <row r="305" spans="1:22" ht="16.5" thickTop="1" thickBot="1" x14ac:dyDescent="0.3">
      <c r="A305" s="34"/>
      <c r="B305" s="4"/>
      <c r="C305" s="4"/>
      <c r="D305" s="4"/>
      <c r="E305" s="4"/>
      <c r="F305" s="4"/>
      <c r="G305" s="5"/>
      <c r="H305" s="14"/>
      <c r="I305" s="14"/>
      <c r="J305" s="29" t="str">
        <f t="shared" si="3"/>
        <v/>
      </c>
      <c r="L305" s="71"/>
      <c r="M305" s="71"/>
      <c r="N305" s="71"/>
      <c r="O305" s="71"/>
      <c r="P305" s="71" t="str">
        <f>IFERROR(INDEX(RECICLADORES!C:C,MATCH(D305,RECICLADORES!B:B,0)),"")</f>
        <v/>
      </c>
      <c r="Q305" s="71" t="str">
        <f>IFERROR(INDEX(RECICLADORES!O:O,MATCH(D305,RECICLADORES!B:B,0)),"")</f>
        <v/>
      </c>
      <c r="R305" s="65"/>
      <c r="S305" s="65"/>
      <c r="T305" s="71"/>
      <c r="U305" s="71"/>
      <c r="V305" s="86"/>
    </row>
    <row r="306" spans="1:22" ht="16.5" thickTop="1" thickBot="1" x14ac:dyDescent="0.3">
      <c r="A306" s="35"/>
      <c r="B306" s="4"/>
      <c r="C306" s="4"/>
      <c r="D306" s="4"/>
      <c r="E306" s="4"/>
      <c r="F306" s="4"/>
      <c r="G306" s="5"/>
      <c r="H306" s="14"/>
      <c r="I306" s="14"/>
      <c r="J306" s="29" t="str">
        <f t="shared" si="3"/>
        <v/>
      </c>
      <c r="L306" s="71"/>
      <c r="M306" s="71"/>
      <c r="N306" s="71"/>
      <c r="O306" s="71"/>
      <c r="P306" s="71" t="str">
        <f>IFERROR(INDEX(RECICLADORES!C:C,MATCH(D306,RECICLADORES!B:B,0)),"")</f>
        <v/>
      </c>
      <c r="Q306" s="71" t="str">
        <f>IFERROR(INDEX(RECICLADORES!O:O,MATCH(D306,RECICLADORES!B:B,0)),"")</f>
        <v/>
      </c>
      <c r="R306" s="65"/>
      <c r="S306" s="65"/>
      <c r="T306" s="71"/>
      <c r="U306" s="71"/>
      <c r="V306" s="86"/>
    </row>
    <row r="307" spans="1:22" ht="16.5" thickTop="1" thickBot="1" x14ac:dyDescent="0.3">
      <c r="A307" s="34"/>
      <c r="B307" s="4"/>
      <c r="C307" s="4"/>
      <c r="D307" s="4"/>
      <c r="E307" s="4"/>
      <c r="F307" s="4"/>
      <c r="G307" s="5"/>
      <c r="H307" s="14"/>
      <c r="I307" s="14"/>
      <c r="J307" s="29" t="str">
        <f t="shared" si="3"/>
        <v/>
      </c>
      <c r="L307" s="71"/>
      <c r="M307" s="71"/>
      <c r="N307" s="71"/>
      <c r="O307" s="71"/>
      <c r="P307" s="71" t="str">
        <f>IFERROR(INDEX(RECICLADORES!C:C,MATCH(D307,RECICLADORES!B:B,0)),"")</f>
        <v/>
      </c>
      <c r="Q307" s="71" t="str">
        <f>IFERROR(INDEX(RECICLADORES!O:O,MATCH(D307,RECICLADORES!B:B,0)),"")</f>
        <v/>
      </c>
      <c r="R307" s="65"/>
      <c r="S307" s="65"/>
      <c r="T307" s="71"/>
      <c r="U307" s="71"/>
      <c r="V307" s="86"/>
    </row>
    <row r="308" spans="1:22" ht="16.5" thickTop="1" thickBot="1" x14ac:dyDescent="0.3">
      <c r="A308" s="35"/>
      <c r="B308" s="4"/>
      <c r="C308" s="4"/>
      <c r="D308" s="4"/>
      <c r="E308" s="4"/>
      <c r="F308" s="4"/>
      <c r="G308" s="5"/>
      <c r="H308" s="14"/>
      <c r="I308" s="14"/>
      <c r="J308" s="29" t="str">
        <f t="shared" si="3"/>
        <v/>
      </c>
      <c r="L308" s="71"/>
      <c r="M308" s="71"/>
      <c r="N308" s="71"/>
      <c r="O308" s="71"/>
      <c r="P308" s="71" t="str">
        <f>IFERROR(INDEX(RECICLADORES!C:C,MATCH(D308,RECICLADORES!B:B,0)),"")</f>
        <v/>
      </c>
      <c r="Q308" s="71" t="str">
        <f>IFERROR(INDEX(RECICLADORES!O:O,MATCH(D308,RECICLADORES!B:B,0)),"")</f>
        <v/>
      </c>
      <c r="R308" s="65"/>
      <c r="S308" s="65"/>
      <c r="T308" s="71"/>
      <c r="U308" s="71"/>
      <c r="V308" s="86"/>
    </row>
    <row r="309" spans="1:22" ht="16.5" thickTop="1" thickBot="1" x14ac:dyDescent="0.3">
      <c r="A309" s="35"/>
      <c r="B309" s="4"/>
      <c r="C309" s="4"/>
      <c r="D309" s="4"/>
      <c r="E309" s="4"/>
      <c r="F309" s="4"/>
      <c r="G309" s="5"/>
      <c r="H309" s="14"/>
      <c r="I309" s="14"/>
      <c r="J309" s="29" t="str">
        <f t="shared" si="3"/>
        <v/>
      </c>
      <c r="L309" s="71"/>
      <c r="M309" s="71"/>
      <c r="N309" s="71"/>
      <c r="O309" s="71"/>
      <c r="P309" s="71" t="str">
        <f>IFERROR(INDEX(RECICLADORES!C:C,MATCH(D309,RECICLADORES!B:B,0)),"")</f>
        <v/>
      </c>
      <c r="Q309" s="71" t="str">
        <f>IFERROR(INDEX(RECICLADORES!O:O,MATCH(D309,RECICLADORES!B:B,0)),"")</f>
        <v/>
      </c>
      <c r="R309" s="65"/>
      <c r="S309" s="65"/>
      <c r="T309" s="71"/>
      <c r="U309" s="71"/>
      <c r="V309" s="86"/>
    </row>
    <row r="310" spans="1:22" ht="16.5" thickTop="1" thickBot="1" x14ac:dyDescent="0.3">
      <c r="A310" s="34"/>
      <c r="B310" s="4"/>
      <c r="C310" s="4"/>
      <c r="D310" s="4"/>
      <c r="E310" s="4"/>
      <c r="F310" s="4"/>
      <c r="G310" s="5"/>
      <c r="H310" s="14"/>
      <c r="I310" s="14"/>
      <c r="J310" s="29" t="str">
        <f t="shared" si="3"/>
        <v/>
      </c>
      <c r="L310" s="71"/>
      <c r="M310" s="71"/>
      <c r="N310" s="71"/>
      <c r="O310" s="71"/>
      <c r="P310" s="71" t="str">
        <f>IFERROR(INDEX(RECICLADORES!C:C,MATCH(D310,RECICLADORES!B:B,0)),"")</f>
        <v/>
      </c>
      <c r="Q310" s="71" t="str">
        <f>IFERROR(INDEX(RECICLADORES!O:O,MATCH(D310,RECICLADORES!B:B,0)),"")</f>
        <v/>
      </c>
      <c r="R310" s="65"/>
      <c r="S310" s="65"/>
      <c r="T310" s="71"/>
      <c r="U310" s="71"/>
      <c r="V310" s="86"/>
    </row>
    <row r="311" spans="1:22" ht="16.5" thickTop="1" thickBot="1" x14ac:dyDescent="0.3">
      <c r="A311" s="35"/>
      <c r="B311" s="4"/>
      <c r="C311" s="4"/>
      <c r="D311" s="4"/>
      <c r="E311" s="4"/>
      <c r="F311" s="4"/>
      <c r="G311" s="5"/>
      <c r="H311" s="14"/>
      <c r="I311" s="14"/>
      <c r="J311" s="29" t="str">
        <f t="shared" si="3"/>
        <v/>
      </c>
      <c r="L311" s="71"/>
      <c r="M311" s="71"/>
      <c r="N311" s="71"/>
      <c r="O311" s="71"/>
      <c r="P311" s="71" t="str">
        <f>IFERROR(INDEX(RECICLADORES!C:C,MATCH(D311,RECICLADORES!B:B,0)),"")</f>
        <v/>
      </c>
      <c r="Q311" s="71" t="str">
        <f>IFERROR(INDEX(RECICLADORES!O:O,MATCH(D311,RECICLADORES!B:B,0)),"")</f>
        <v/>
      </c>
      <c r="R311" s="65"/>
      <c r="S311" s="65"/>
      <c r="T311" s="71"/>
      <c r="U311" s="71"/>
      <c r="V311" s="86"/>
    </row>
    <row r="312" spans="1:22" ht="16.5" thickTop="1" thickBot="1" x14ac:dyDescent="0.3">
      <c r="A312" s="34"/>
      <c r="B312" s="4"/>
      <c r="C312" s="4"/>
      <c r="D312" s="4"/>
      <c r="E312" s="4"/>
      <c r="F312" s="4"/>
      <c r="G312" s="5"/>
      <c r="H312" s="14"/>
      <c r="I312" s="14"/>
      <c r="J312" s="29" t="str">
        <f t="shared" si="3"/>
        <v/>
      </c>
      <c r="L312" s="71"/>
      <c r="M312" s="71"/>
      <c r="N312" s="71"/>
      <c r="O312" s="71"/>
      <c r="P312" s="71" t="str">
        <f>IFERROR(INDEX(RECICLADORES!C:C,MATCH(D312,RECICLADORES!B:B,0)),"")</f>
        <v/>
      </c>
      <c r="Q312" s="71" t="str">
        <f>IFERROR(INDEX(RECICLADORES!O:O,MATCH(D312,RECICLADORES!B:B,0)),"")</f>
        <v/>
      </c>
      <c r="R312" s="65"/>
      <c r="S312" s="65"/>
      <c r="T312" s="71"/>
      <c r="U312" s="71"/>
      <c r="V312" s="86"/>
    </row>
    <row r="313" spans="1:22" ht="16.5" thickTop="1" thickBot="1" x14ac:dyDescent="0.3">
      <c r="A313" s="35"/>
      <c r="B313" s="4"/>
      <c r="C313" s="4"/>
      <c r="D313" s="4"/>
      <c r="E313" s="4"/>
      <c r="F313" s="4"/>
      <c r="G313" s="5"/>
      <c r="H313" s="14"/>
      <c r="I313" s="14"/>
      <c r="J313" s="29" t="str">
        <f t="shared" si="3"/>
        <v/>
      </c>
      <c r="L313" s="71"/>
      <c r="M313" s="71"/>
      <c r="N313" s="71"/>
      <c r="O313" s="71"/>
      <c r="P313" s="71" t="str">
        <f>IFERROR(INDEX(RECICLADORES!C:C,MATCH(D313,RECICLADORES!B:B,0)),"")</f>
        <v/>
      </c>
      <c r="Q313" s="71" t="str">
        <f>IFERROR(INDEX(RECICLADORES!O:O,MATCH(D313,RECICLADORES!B:B,0)),"")</f>
        <v/>
      </c>
      <c r="R313" s="65"/>
      <c r="S313" s="65"/>
      <c r="T313" s="71"/>
      <c r="U313" s="71"/>
      <c r="V313" s="86"/>
    </row>
    <row r="314" spans="1:22" ht="16.5" thickTop="1" thickBot="1" x14ac:dyDescent="0.3">
      <c r="A314" s="34"/>
      <c r="B314" s="4"/>
      <c r="C314" s="4"/>
      <c r="D314" s="4"/>
      <c r="E314" s="4"/>
      <c r="F314" s="4"/>
      <c r="G314" s="5"/>
      <c r="H314" s="14"/>
      <c r="I314" s="14"/>
      <c r="J314" s="29" t="str">
        <f t="shared" si="3"/>
        <v/>
      </c>
      <c r="L314" s="71"/>
      <c r="M314" s="71"/>
      <c r="N314" s="71"/>
      <c r="O314" s="71"/>
      <c r="P314" s="71" t="str">
        <f>IFERROR(INDEX(RECICLADORES!C:C,MATCH(D314,RECICLADORES!B:B,0)),"")</f>
        <v/>
      </c>
      <c r="Q314" s="71" t="str">
        <f>IFERROR(INDEX(RECICLADORES!O:O,MATCH(D314,RECICLADORES!B:B,0)),"")</f>
        <v/>
      </c>
      <c r="R314" s="65"/>
      <c r="S314" s="65"/>
      <c r="T314" s="71"/>
      <c r="U314" s="71"/>
      <c r="V314" s="86"/>
    </row>
    <row r="315" spans="1:22" ht="16.5" thickTop="1" thickBot="1" x14ac:dyDescent="0.3">
      <c r="A315" s="35"/>
      <c r="B315" s="4"/>
      <c r="C315" s="4"/>
      <c r="D315" s="4"/>
      <c r="E315" s="4"/>
      <c r="F315" s="4"/>
      <c r="G315" s="5"/>
      <c r="H315" s="14"/>
      <c r="I315" s="14"/>
      <c r="J315" s="29" t="str">
        <f t="shared" si="3"/>
        <v/>
      </c>
      <c r="L315" s="71"/>
      <c r="M315" s="71"/>
      <c r="N315" s="71"/>
      <c r="O315" s="71"/>
      <c r="P315" s="71" t="str">
        <f>IFERROR(INDEX(RECICLADORES!C:C,MATCH(D315,RECICLADORES!B:B,0)),"")</f>
        <v/>
      </c>
      <c r="Q315" s="71" t="str">
        <f>IFERROR(INDEX(RECICLADORES!O:O,MATCH(D315,RECICLADORES!B:B,0)),"")</f>
        <v/>
      </c>
      <c r="R315" s="65"/>
      <c r="S315" s="65"/>
      <c r="T315" s="71"/>
      <c r="U315" s="71"/>
      <c r="V315" s="86"/>
    </row>
    <row r="316" spans="1:22" ht="16.5" thickTop="1" thickBot="1" x14ac:dyDescent="0.3">
      <c r="A316" s="34"/>
      <c r="B316" s="4"/>
      <c r="C316" s="4"/>
      <c r="D316" s="4"/>
      <c r="E316" s="4"/>
      <c r="F316" s="4"/>
      <c r="G316" s="5"/>
      <c r="H316" s="14"/>
      <c r="I316" s="14"/>
      <c r="J316" s="29" t="str">
        <f t="shared" si="3"/>
        <v/>
      </c>
      <c r="L316" s="71"/>
      <c r="M316" s="71"/>
      <c r="N316" s="71"/>
      <c r="O316" s="71"/>
      <c r="P316" s="71" t="str">
        <f>IFERROR(INDEX(RECICLADORES!C:C,MATCH(D316,RECICLADORES!B:B,0)),"")</f>
        <v/>
      </c>
      <c r="Q316" s="71" t="str">
        <f>IFERROR(INDEX(RECICLADORES!O:O,MATCH(D316,RECICLADORES!B:B,0)),"")</f>
        <v/>
      </c>
      <c r="R316" s="65"/>
      <c r="S316" s="65"/>
      <c r="T316" s="71"/>
      <c r="U316" s="71"/>
      <c r="V316" s="86"/>
    </row>
    <row r="317" spans="1:22" ht="16.5" thickTop="1" thickBot="1" x14ac:dyDescent="0.3">
      <c r="A317" s="35"/>
      <c r="B317" s="4"/>
      <c r="C317" s="4"/>
      <c r="D317" s="4"/>
      <c r="E317" s="4"/>
      <c r="F317" s="4"/>
      <c r="G317" s="5"/>
      <c r="H317" s="14"/>
      <c r="I317" s="14"/>
      <c r="J317" s="29" t="str">
        <f t="shared" si="3"/>
        <v/>
      </c>
      <c r="L317" s="71"/>
      <c r="M317" s="71"/>
      <c r="N317" s="71"/>
      <c r="O317" s="71"/>
      <c r="P317" s="71" t="str">
        <f>IFERROR(INDEX(RECICLADORES!C:C,MATCH(D317,RECICLADORES!B:B,0)),"")</f>
        <v/>
      </c>
      <c r="Q317" s="71" t="str">
        <f>IFERROR(INDEX(RECICLADORES!O:O,MATCH(D317,RECICLADORES!B:B,0)),"")</f>
        <v/>
      </c>
      <c r="R317" s="65"/>
      <c r="S317" s="65"/>
      <c r="T317" s="71"/>
      <c r="U317" s="71"/>
      <c r="V317" s="86"/>
    </row>
    <row r="318" spans="1:22" ht="16.5" thickTop="1" thickBot="1" x14ac:dyDescent="0.3">
      <c r="A318" s="34"/>
      <c r="B318" s="4"/>
      <c r="C318" s="4"/>
      <c r="D318" s="4"/>
      <c r="E318" s="4"/>
      <c r="F318" s="4"/>
      <c r="G318" s="5"/>
      <c r="H318" s="14"/>
      <c r="I318" s="14"/>
      <c r="J318" s="29" t="str">
        <f t="shared" si="3"/>
        <v/>
      </c>
      <c r="L318" s="71"/>
      <c r="M318" s="71"/>
      <c r="N318" s="71"/>
      <c r="O318" s="71"/>
      <c r="P318" s="71" t="str">
        <f>IFERROR(INDEX(RECICLADORES!C:C,MATCH(D318,RECICLADORES!B:B,0)),"")</f>
        <v/>
      </c>
      <c r="Q318" s="71" t="str">
        <f>IFERROR(INDEX(RECICLADORES!O:O,MATCH(D318,RECICLADORES!B:B,0)),"")</f>
        <v/>
      </c>
      <c r="R318" s="65"/>
      <c r="S318" s="65"/>
      <c r="T318" s="71"/>
      <c r="U318" s="71"/>
      <c r="V318" s="86"/>
    </row>
    <row r="319" spans="1:22" ht="16.5" thickTop="1" thickBot="1" x14ac:dyDescent="0.3">
      <c r="A319" s="35"/>
      <c r="B319" s="4"/>
      <c r="C319" s="4"/>
      <c r="D319" s="4"/>
      <c r="E319" s="4"/>
      <c r="F319" s="4"/>
      <c r="G319" s="5"/>
      <c r="H319" s="14"/>
      <c r="I319" s="14"/>
      <c r="J319" s="29" t="str">
        <f t="shared" si="3"/>
        <v/>
      </c>
      <c r="L319" s="71"/>
      <c r="M319" s="71"/>
      <c r="N319" s="71"/>
      <c r="O319" s="71"/>
      <c r="P319" s="71" t="str">
        <f>IFERROR(INDEX(RECICLADORES!C:C,MATCH(D319,RECICLADORES!B:B,0)),"")</f>
        <v/>
      </c>
      <c r="Q319" s="71" t="str">
        <f>IFERROR(INDEX(RECICLADORES!O:O,MATCH(D319,RECICLADORES!B:B,0)),"")</f>
        <v/>
      </c>
      <c r="R319" s="65"/>
      <c r="S319" s="65"/>
      <c r="T319" s="71"/>
      <c r="U319" s="71"/>
      <c r="V319" s="86"/>
    </row>
    <row r="320" spans="1:22" ht="16.5" thickTop="1" thickBot="1" x14ac:dyDescent="0.3">
      <c r="A320" s="34"/>
      <c r="B320" s="4"/>
      <c r="C320" s="4"/>
      <c r="D320" s="4"/>
      <c r="E320" s="4"/>
      <c r="F320" s="4"/>
      <c r="G320" s="5"/>
      <c r="H320" s="14"/>
      <c r="I320" s="14"/>
      <c r="J320" s="29" t="str">
        <f t="shared" si="3"/>
        <v/>
      </c>
      <c r="L320" s="71"/>
      <c r="M320" s="71"/>
      <c r="N320" s="71"/>
      <c r="O320" s="71"/>
      <c r="P320" s="71" t="str">
        <f>IFERROR(INDEX(RECICLADORES!C:C,MATCH(D320,RECICLADORES!B:B,0)),"")</f>
        <v/>
      </c>
      <c r="Q320" s="71" t="str">
        <f>IFERROR(INDEX(RECICLADORES!O:O,MATCH(D320,RECICLADORES!B:B,0)),"")</f>
        <v/>
      </c>
      <c r="R320" s="65"/>
      <c r="S320" s="65"/>
      <c r="T320" s="71"/>
      <c r="U320" s="71"/>
      <c r="V320" s="86"/>
    </row>
    <row r="321" spans="1:22" ht="16.5" thickTop="1" thickBot="1" x14ac:dyDescent="0.3">
      <c r="A321" s="35"/>
      <c r="B321" s="4"/>
      <c r="C321" s="4"/>
      <c r="D321" s="4"/>
      <c r="E321" s="4"/>
      <c r="F321" s="4"/>
      <c r="G321" s="5"/>
      <c r="H321" s="14"/>
      <c r="I321" s="14"/>
      <c r="J321" s="29" t="str">
        <f t="shared" si="3"/>
        <v/>
      </c>
      <c r="L321" s="71"/>
      <c r="M321" s="71"/>
      <c r="N321" s="71"/>
      <c r="O321" s="71"/>
      <c r="P321" s="71" t="str">
        <f>IFERROR(INDEX(RECICLADORES!C:C,MATCH(D321,RECICLADORES!B:B,0)),"")</f>
        <v/>
      </c>
      <c r="Q321" s="71" t="str">
        <f>IFERROR(INDEX(RECICLADORES!O:O,MATCH(D321,RECICLADORES!B:B,0)),"")</f>
        <v/>
      </c>
      <c r="R321" s="65"/>
      <c r="S321" s="65"/>
      <c r="T321" s="71"/>
      <c r="U321" s="71"/>
      <c r="V321" s="86"/>
    </row>
    <row r="322" spans="1:22" ht="16.5" thickTop="1" thickBot="1" x14ac:dyDescent="0.3">
      <c r="A322" s="34"/>
      <c r="B322" s="4"/>
      <c r="C322" s="4"/>
      <c r="D322" s="4"/>
      <c r="E322" s="4"/>
      <c r="F322" s="4"/>
      <c r="G322" s="5"/>
      <c r="H322" s="14"/>
      <c r="I322" s="14"/>
      <c r="J322" s="29" t="str">
        <f t="shared" si="3"/>
        <v/>
      </c>
      <c r="L322" s="71"/>
      <c r="M322" s="71"/>
      <c r="N322" s="71"/>
      <c r="O322" s="71"/>
      <c r="P322" s="71" t="str">
        <f>IFERROR(INDEX(RECICLADORES!C:C,MATCH(D322,RECICLADORES!B:B,0)),"")</f>
        <v/>
      </c>
      <c r="Q322" s="71" t="str">
        <f>IFERROR(INDEX(RECICLADORES!O:O,MATCH(D322,RECICLADORES!B:B,0)),"")</f>
        <v/>
      </c>
      <c r="R322" s="65"/>
      <c r="S322" s="65"/>
      <c r="T322" s="71"/>
      <c r="U322" s="71"/>
      <c r="V322" s="86"/>
    </row>
    <row r="323" spans="1:22" ht="16.5" thickTop="1" thickBot="1" x14ac:dyDescent="0.3">
      <c r="A323" s="35"/>
      <c r="B323" s="4"/>
      <c r="C323" s="4"/>
      <c r="D323" s="4"/>
      <c r="E323" s="4"/>
      <c r="F323" s="4"/>
      <c r="G323" s="5"/>
      <c r="H323" s="14"/>
      <c r="I323" s="14"/>
      <c r="J323" s="29" t="str">
        <f t="shared" si="3"/>
        <v/>
      </c>
      <c r="L323" s="71"/>
      <c r="M323" s="71"/>
      <c r="N323" s="71"/>
      <c r="O323" s="71"/>
      <c r="P323" s="71" t="str">
        <f>IFERROR(INDEX(RECICLADORES!C:C,MATCH(D323,RECICLADORES!B:B,0)),"")</f>
        <v/>
      </c>
      <c r="Q323" s="71" t="str">
        <f>IFERROR(INDEX(RECICLADORES!O:O,MATCH(D323,RECICLADORES!B:B,0)),"")</f>
        <v/>
      </c>
      <c r="R323" s="65"/>
      <c r="S323" s="65"/>
      <c r="T323" s="71"/>
      <c r="U323" s="71"/>
      <c r="V323" s="86"/>
    </row>
    <row r="324" spans="1:22" ht="16.5" thickTop="1" thickBot="1" x14ac:dyDescent="0.3">
      <c r="A324" s="34"/>
      <c r="B324" s="4"/>
      <c r="C324" s="4"/>
      <c r="D324" s="4"/>
      <c r="E324" s="4"/>
      <c r="F324" s="4"/>
      <c r="G324" s="5"/>
      <c r="H324" s="14"/>
      <c r="I324" s="14"/>
      <c r="J324" s="29" t="str">
        <f t="shared" si="3"/>
        <v/>
      </c>
      <c r="L324" s="71"/>
      <c r="M324" s="71"/>
      <c r="N324" s="71"/>
      <c r="O324" s="71"/>
      <c r="P324" s="71" t="str">
        <f>IFERROR(INDEX(RECICLADORES!C:C,MATCH(D324,RECICLADORES!B:B,0)),"")</f>
        <v/>
      </c>
      <c r="Q324" s="71" t="str">
        <f>IFERROR(INDEX(RECICLADORES!O:O,MATCH(D324,RECICLADORES!B:B,0)),"")</f>
        <v/>
      </c>
      <c r="R324" s="65"/>
      <c r="S324" s="65"/>
      <c r="T324" s="71"/>
      <c r="U324" s="71"/>
      <c r="V324" s="86"/>
    </row>
    <row r="325" spans="1:22" ht="16.5" thickTop="1" thickBot="1" x14ac:dyDescent="0.3">
      <c r="A325" s="35"/>
      <c r="B325" s="4"/>
      <c r="C325" s="4"/>
      <c r="D325" s="4"/>
      <c r="E325" s="4"/>
      <c r="F325" s="4"/>
      <c r="G325" s="5"/>
      <c r="H325" s="14"/>
      <c r="I325" s="14"/>
      <c r="J325" s="29" t="str">
        <f t="shared" si="3"/>
        <v/>
      </c>
      <c r="L325" s="71"/>
      <c r="M325" s="71"/>
      <c r="N325" s="71"/>
      <c r="O325" s="71"/>
      <c r="P325" s="71" t="str">
        <f>IFERROR(INDEX(RECICLADORES!C:C,MATCH(D325,RECICLADORES!B:B,0)),"")</f>
        <v/>
      </c>
      <c r="Q325" s="71" t="str">
        <f>IFERROR(INDEX(RECICLADORES!O:O,MATCH(D325,RECICLADORES!B:B,0)),"")</f>
        <v/>
      </c>
      <c r="R325" s="65"/>
      <c r="S325" s="65"/>
      <c r="T325" s="71"/>
      <c r="U325" s="71"/>
      <c r="V325" s="86"/>
    </row>
    <row r="326" spans="1:22" ht="16.5" thickTop="1" thickBot="1" x14ac:dyDescent="0.3">
      <c r="A326" s="34"/>
      <c r="B326" s="4"/>
      <c r="C326" s="4"/>
      <c r="D326" s="4"/>
      <c r="E326" s="4"/>
      <c r="F326" s="4"/>
      <c r="G326" s="5"/>
      <c r="H326" s="14"/>
      <c r="I326" s="14"/>
      <c r="J326" s="29" t="str">
        <f t="shared" si="3"/>
        <v/>
      </c>
      <c r="L326" s="71"/>
      <c r="M326" s="71"/>
      <c r="N326" s="71"/>
      <c r="O326" s="71"/>
      <c r="P326" s="71" t="str">
        <f>IFERROR(INDEX(RECICLADORES!C:C,MATCH(D326,RECICLADORES!B:B,0)),"")</f>
        <v/>
      </c>
      <c r="Q326" s="71" t="str">
        <f>IFERROR(INDEX(RECICLADORES!O:O,MATCH(D326,RECICLADORES!B:B,0)),"")</f>
        <v/>
      </c>
      <c r="R326" s="65"/>
      <c r="S326" s="65"/>
      <c r="T326" s="71"/>
      <c r="U326" s="71"/>
      <c r="V326" s="86"/>
    </row>
    <row r="327" spans="1:22" ht="16.5" thickTop="1" thickBot="1" x14ac:dyDescent="0.3">
      <c r="A327" s="35"/>
      <c r="B327" s="4"/>
      <c r="C327" s="4"/>
      <c r="D327" s="4"/>
      <c r="E327" s="4"/>
      <c r="F327" s="4"/>
      <c r="G327" s="5"/>
      <c r="H327" s="14"/>
      <c r="I327" s="14"/>
      <c r="J327" s="29" t="str">
        <f t="shared" si="3"/>
        <v/>
      </c>
      <c r="L327" s="71"/>
      <c r="M327" s="71"/>
      <c r="N327" s="71"/>
      <c r="O327" s="71"/>
      <c r="P327" s="71" t="str">
        <f>IFERROR(INDEX(RECICLADORES!C:C,MATCH(D327,RECICLADORES!B:B,0)),"")</f>
        <v/>
      </c>
      <c r="Q327" s="71" t="str">
        <f>IFERROR(INDEX(RECICLADORES!O:O,MATCH(D327,RECICLADORES!B:B,0)),"")</f>
        <v/>
      </c>
      <c r="R327" s="65"/>
      <c r="S327" s="65"/>
      <c r="T327" s="71"/>
      <c r="U327" s="71"/>
      <c r="V327" s="86"/>
    </row>
    <row r="328" spans="1:22" ht="16.5" thickTop="1" thickBot="1" x14ac:dyDescent="0.3">
      <c r="A328" s="34"/>
      <c r="B328" s="4"/>
      <c r="C328" s="4"/>
      <c r="D328" s="4"/>
      <c r="E328" s="4"/>
      <c r="F328" s="4"/>
      <c r="G328" s="5"/>
      <c r="H328" s="14"/>
      <c r="I328" s="14"/>
      <c r="J328" s="29" t="str">
        <f t="shared" si="3"/>
        <v/>
      </c>
      <c r="L328" s="71"/>
      <c r="M328" s="71"/>
      <c r="N328" s="71"/>
      <c r="O328" s="71"/>
      <c r="P328" s="71" t="str">
        <f>IFERROR(INDEX(RECICLADORES!C:C,MATCH(D328,RECICLADORES!B:B,0)),"")</f>
        <v/>
      </c>
      <c r="Q328" s="71" t="str">
        <f>IFERROR(INDEX(RECICLADORES!O:O,MATCH(D328,RECICLADORES!B:B,0)),"")</f>
        <v/>
      </c>
      <c r="R328" s="65"/>
      <c r="S328" s="65"/>
      <c r="T328" s="71"/>
      <c r="U328" s="71"/>
      <c r="V328" s="86"/>
    </row>
    <row r="329" spans="1:22" ht="16.5" thickTop="1" thickBot="1" x14ac:dyDescent="0.3">
      <c r="A329" s="35"/>
      <c r="B329" s="4"/>
      <c r="C329" s="4"/>
      <c r="D329" s="4"/>
      <c r="E329" s="4"/>
      <c r="F329" s="4"/>
      <c r="G329" s="5"/>
      <c r="H329" s="14"/>
      <c r="I329" s="14"/>
      <c r="J329" s="29" t="str">
        <f t="shared" si="3"/>
        <v/>
      </c>
      <c r="L329" s="71"/>
      <c r="M329" s="71"/>
      <c r="N329" s="71"/>
      <c r="O329" s="71"/>
      <c r="P329" s="71" t="str">
        <f>IFERROR(INDEX(RECICLADORES!C:C,MATCH(D329,RECICLADORES!B:B,0)),"")</f>
        <v/>
      </c>
      <c r="Q329" s="71" t="str">
        <f>IFERROR(INDEX(RECICLADORES!O:O,MATCH(D329,RECICLADORES!B:B,0)),"")</f>
        <v/>
      </c>
      <c r="R329" s="65"/>
      <c r="S329" s="65"/>
      <c r="T329" s="71"/>
      <c r="U329" s="71"/>
      <c r="V329" s="86"/>
    </row>
    <row r="330" spans="1:22" ht="16.5" thickTop="1" thickBot="1" x14ac:dyDescent="0.3">
      <c r="A330" s="34"/>
      <c r="B330" s="4"/>
      <c r="C330" s="4"/>
      <c r="D330" s="4"/>
      <c r="E330" s="4"/>
      <c r="F330" s="4"/>
      <c r="G330" s="5"/>
      <c r="H330" s="14"/>
      <c r="I330" s="14"/>
      <c r="J330" s="29" t="str">
        <f t="shared" si="3"/>
        <v/>
      </c>
      <c r="L330" s="71"/>
      <c r="M330" s="71"/>
      <c r="N330" s="71"/>
      <c r="O330" s="71"/>
      <c r="P330" s="71" t="str">
        <f>IFERROR(INDEX(RECICLADORES!C:C,MATCH(D330,RECICLADORES!B:B,0)),"")</f>
        <v/>
      </c>
      <c r="Q330" s="71" t="str">
        <f>IFERROR(INDEX(RECICLADORES!O:O,MATCH(D330,RECICLADORES!B:B,0)),"")</f>
        <v/>
      </c>
      <c r="R330" s="65"/>
      <c r="S330" s="65"/>
      <c r="T330" s="71"/>
      <c r="U330" s="71"/>
      <c r="V330" s="86"/>
    </row>
    <row r="331" spans="1:22" ht="16.5" thickTop="1" thickBot="1" x14ac:dyDescent="0.3">
      <c r="A331" s="35"/>
      <c r="B331" s="4"/>
      <c r="C331" s="4"/>
      <c r="D331" s="4"/>
      <c r="E331" s="4"/>
      <c r="F331" s="4"/>
      <c r="G331" s="5"/>
      <c r="H331" s="14"/>
      <c r="I331" s="14"/>
      <c r="J331" s="29" t="str">
        <f t="shared" si="3"/>
        <v/>
      </c>
      <c r="L331" s="71"/>
      <c r="M331" s="71"/>
      <c r="N331" s="71"/>
      <c r="O331" s="71"/>
      <c r="P331" s="71" t="str">
        <f>IFERROR(INDEX(RECICLADORES!C:C,MATCH(D331,RECICLADORES!B:B,0)),"")</f>
        <v/>
      </c>
      <c r="Q331" s="71" t="str">
        <f>IFERROR(INDEX(RECICLADORES!O:O,MATCH(D331,RECICLADORES!B:B,0)),"")</f>
        <v/>
      </c>
      <c r="R331" s="65"/>
      <c r="S331" s="65"/>
      <c r="T331" s="71"/>
      <c r="U331" s="71"/>
      <c r="V331" s="86"/>
    </row>
    <row r="332" spans="1:22" ht="16.5" thickTop="1" thickBot="1" x14ac:dyDescent="0.3">
      <c r="A332" s="34"/>
      <c r="B332" s="4"/>
      <c r="C332" s="4"/>
      <c r="D332" s="4"/>
      <c r="E332" s="4"/>
      <c r="F332" s="4"/>
      <c r="G332" s="5"/>
      <c r="H332" s="14"/>
      <c r="I332" s="14"/>
      <c r="J332" s="29" t="str">
        <f t="shared" si="3"/>
        <v/>
      </c>
      <c r="L332" s="71"/>
      <c r="M332" s="71"/>
      <c r="N332" s="71"/>
      <c r="O332" s="71"/>
      <c r="P332" s="71" t="str">
        <f>IFERROR(INDEX(RECICLADORES!C:C,MATCH(D332,RECICLADORES!B:B,0)),"")</f>
        <v/>
      </c>
      <c r="Q332" s="71" t="str">
        <f>IFERROR(INDEX(RECICLADORES!O:O,MATCH(D332,RECICLADORES!B:B,0)),"")</f>
        <v/>
      </c>
      <c r="R332" s="65"/>
      <c r="S332" s="65"/>
      <c r="T332" s="71"/>
      <c r="U332" s="71"/>
      <c r="V332" s="86"/>
    </row>
    <row r="333" spans="1:22" ht="16.5" thickTop="1" thickBot="1" x14ac:dyDescent="0.3">
      <c r="A333" s="35"/>
      <c r="B333" s="4"/>
      <c r="C333" s="4"/>
      <c r="D333" s="4"/>
      <c r="E333" s="4"/>
      <c r="F333" s="4"/>
      <c r="G333" s="5"/>
      <c r="H333" s="14"/>
      <c r="I333" s="14"/>
      <c r="J333" s="29" t="str">
        <f t="shared" si="3"/>
        <v/>
      </c>
      <c r="L333" s="71"/>
      <c r="M333" s="71"/>
      <c r="N333" s="71"/>
      <c r="O333" s="71"/>
      <c r="P333" s="71" t="str">
        <f>IFERROR(INDEX(RECICLADORES!C:C,MATCH(D333,RECICLADORES!B:B,0)),"")</f>
        <v/>
      </c>
      <c r="Q333" s="71" t="str">
        <f>IFERROR(INDEX(RECICLADORES!O:O,MATCH(D333,RECICLADORES!B:B,0)),"")</f>
        <v/>
      </c>
      <c r="R333" s="65"/>
      <c r="S333" s="65"/>
      <c r="T333" s="71"/>
      <c r="U333" s="71"/>
      <c r="V333" s="86"/>
    </row>
    <row r="334" spans="1:22" ht="16.5" thickTop="1" thickBot="1" x14ac:dyDescent="0.3">
      <c r="A334" s="34"/>
      <c r="B334" s="4"/>
      <c r="C334" s="4"/>
      <c r="D334" s="4"/>
      <c r="E334" s="4"/>
      <c r="F334" s="4"/>
      <c r="G334" s="5"/>
      <c r="H334" s="14"/>
      <c r="I334" s="14"/>
      <c r="J334" s="29" t="str">
        <f t="shared" si="3"/>
        <v/>
      </c>
      <c r="L334" s="71"/>
      <c r="M334" s="71"/>
      <c r="N334" s="71"/>
      <c r="O334" s="71"/>
      <c r="P334" s="71" t="str">
        <f>IFERROR(INDEX(RECICLADORES!C:C,MATCH(D334,RECICLADORES!B:B,0)),"")</f>
        <v/>
      </c>
      <c r="Q334" s="71" t="str">
        <f>IFERROR(INDEX(RECICLADORES!O:O,MATCH(D334,RECICLADORES!B:B,0)),"")</f>
        <v/>
      </c>
      <c r="R334" s="65"/>
      <c r="S334" s="65"/>
      <c r="T334" s="71"/>
      <c r="U334" s="71"/>
      <c r="V334" s="86"/>
    </row>
    <row r="335" spans="1:22" ht="16.5" thickTop="1" thickBot="1" x14ac:dyDescent="0.3">
      <c r="A335" s="35"/>
      <c r="B335" s="4"/>
      <c r="C335" s="4"/>
      <c r="D335" s="4"/>
      <c r="E335" s="4"/>
      <c r="F335" s="4"/>
      <c r="G335" s="5"/>
      <c r="H335" s="14"/>
      <c r="I335" s="14"/>
      <c r="J335" s="29" t="str">
        <f t="shared" si="3"/>
        <v/>
      </c>
      <c r="L335" s="71"/>
      <c r="M335" s="71"/>
      <c r="N335" s="71"/>
      <c r="O335" s="71"/>
      <c r="P335" s="71" t="str">
        <f>IFERROR(INDEX(RECICLADORES!C:C,MATCH(D335,RECICLADORES!B:B,0)),"")</f>
        <v/>
      </c>
      <c r="Q335" s="71" t="str">
        <f>IFERROR(INDEX(RECICLADORES!O:O,MATCH(D335,RECICLADORES!B:B,0)),"")</f>
        <v/>
      </c>
      <c r="R335" s="65"/>
      <c r="S335" s="65"/>
      <c r="T335" s="71"/>
      <c r="U335" s="71"/>
      <c r="V335" s="86"/>
    </row>
    <row r="336" spans="1:22" ht="16.5" thickTop="1" thickBot="1" x14ac:dyDescent="0.3">
      <c r="A336" s="34"/>
      <c r="B336" s="4"/>
      <c r="C336" s="4"/>
      <c r="D336" s="4"/>
      <c r="E336" s="4"/>
      <c r="F336" s="4"/>
      <c r="G336" s="5"/>
      <c r="H336" s="14"/>
      <c r="I336" s="14"/>
      <c r="J336" s="29" t="str">
        <f t="shared" si="3"/>
        <v/>
      </c>
      <c r="L336" s="71"/>
      <c r="M336" s="71"/>
      <c r="N336" s="71"/>
      <c r="O336" s="71"/>
      <c r="P336" s="71" t="str">
        <f>IFERROR(INDEX(RECICLADORES!C:C,MATCH(D336,RECICLADORES!B:B,0)),"")</f>
        <v/>
      </c>
      <c r="Q336" s="71" t="str">
        <f>IFERROR(INDEX(RECICLADORES!O:O,MATCH(D336,RECICLADORES!B:B,0)),"")</f>
        <v/>
      </c>
      <c r="R336" s="65"/>
      <c r="S336" s="65"/>
      <c r="T336" s="71"/>
      <c r="U336" s="71"/>
      <c r="V336" s="86"/>
    </row>
    <row r="337" spans="1:22" ht="16.5" thickTop="1" thickBot="1" x14ac:dyDescent="0.3">
      <c r="A337" s="35"/>
      <c r="B337" s="4"/>
      <c r="C337" s="4"/>
      <c r="D337" s="4"/>
      <c r="E337" s="4"/>
      <c r="F337" s="4"/>
      <c r="G337" s="5"/>
      <c r="H337" s="14"/>
      <c r="I337" s="14"/>
      <c r="J337" s="29" t="str">
        <f t="shared" si="3"/>
        <v/>
      </c>
      <c r="L337" s="71"/>
      <c r="M337" s="71"/>
      <c r="N337" s="71"/>
      <c r="O337" s="71"/>
      <c r="P337" s="71" t="str">
        <f>IFERROR(INDEX(RECICLADORES!C:C,MATCH(D337,RECICLADORES!B:B,0)),"")</f>
        <v/>
      </c>
      <c r="Q337" s="71" t="str">
        <f>IFERROR(INDEX(RECICLADORES!O:O,MATCH(D337,RECICLADORES!B:B,0)),"")</f>
        <v/>
      </c>
      <c r="R337" s="65"/>
      <c r="S337" s="65"/>
      <c r="T337" s="71"/>
      <c r="U337" s="71"/>
      <c r="V337" s="86"/>
    </row>
    <row r="338" spans="1:22" ht="16.5" thickTop="1" thickBot="1" x14ac:dyDescent="0.3">
      <c r="A338" s="35"/>
      <c r="B338" s="4"/>
      <c r="C338" s="4"/>
      <c r="D338" s="4"/>
      <c r="E338" s="4"/>
      <c r="F338" s="4"/>
      <c r="G338" s="5"/>
      <c r="H338" s="14"/>
      <c r="I338" s="14"/>
      <c r="J338" s="29" t="str">
        <f t="shared" si="3"/>
        <v/>
      </c>
      <c r="L338" s="71"/>
      <c r="M338" s="71"/>
      <c r="N338" s="71"/>
      <c r="O338" s="71"/>
      <c r="P338" s="71" t="str">
        <f>IFERROR(INDEX(RECICLADORES!C:C,MATCH(D338,RECICLADORES!B:B,0)),"")</f>
        <v/>
      </c>
      <c r="Q338" s="71" t="str">
        <f>IFERROR(INDEX(RECICLADORES!O:O,MATCH(D338,RECICLADORES!B:B,0)),"")</f>
        <v/>
      </c>
      <c r="R338" s="65"/>
      <c r="S338" s="65"/>
      <c r="T338" s="71"/>
      <c r="U338" s="71"/>
      <c r="V338" s="86"/>
    </row>
    <row r="339" spans="1:22" ht="16.5" thickTop="1" thickBot="1" x14ac:dyDescent="0.3">
      <c r="A339" s="34"/>
      <c r="B339" s="4"/>
      <c r="C339" s="4"/>
      <c r="D339" s="4"/>
      <c r="E339" s="4"/>
      <c r="F339" s="4"/>
      <c r="G339" s="5"/>
      <c r="H339" s="14"/>
      <c r="I339" s="14"/>
      <c r="J339" s="29" t="str">
        <f t="shared" si="3"/>
        <v/>
      </c>
      <c r="L339" s="71"/>
      <c r="M339" s="71"/>
      <c r="N339" s="71"/>
      <c r="O339" s="71"/>
      <c r="P339" s="71" t="str">
        <f>IFERROR(INDEX(RECICLADORES!C:C,MATCH(D339,RECICLADORES!B:B,0)),"")</f>
        <v/>
      </c>
      <c r="Q339" s="71" t="str">
        <f>IFERROR(INDEX(RECICLADORES!O:O,MATCH(D339,RECICLADORES!B:B,0)),"")</f>
        <v/>
      </c>
      <c r="R339" s="65"/>
      <c r="S339" s="65"/>
      <c r="T339" s="71"/>
      <c r="U339" s="71"/>
      <c r="V339" s="86"/>
    </row>
    <row r="340" spans="1:22" ht="16.5" thickTop="1" thickBot="1" x14ac:dyDescent="0.3">
      <c r="A340" s="35"/>
      <c r="B340" s="4"/>
      <c r="C340" s="4"/>
      <c r="D340" s="4"/>
      <c r="E340" s="4"/>
      <c r="F340" s="4"/>
      <c r="G340" s="5"/>
      <c r="H340" s="14"/>
      <c r="I340" s="14"/>
      <c r="J340" s="29" t="str">
        <f t="shared" si="3"/>
        <v/>
      </c>
      <c r="L340" s="71"/>
      <c r="M340" s="71"/>
      <c r="N340" s="71"/>
      <c r="O340" s="71"/>
      <c r="P340" s="71" t="str">
        <f>IFERROR(INDEX(RECICLADORES!C:C,MATCH(D340,RECICLADORES!B:B,0)),"")</f>
        <v/>
      </c>
      <c r="Q340" s="71" t="str">
        <f>IFERROR(INDEX(RECICLADORES!O:O,MATCH(D340,RECICLADORES!B:B,0)),"")</f>
        <v/>
      </c>
      <c r="R340" s="65"/>
      <c r="S340" s="65"/>
      <c r="T340" s="71"/>
      <c r="U340" s="71"/>
      <c r="V340" s="86"/>
    </row>
    <row r="341" spans="1:22" ht="16.5" thickTop="1" thickBot="1" x14ac:dyDescent="0.3">
      <c r="A341" s="34"/>
      <c r="B341" s="4"/>
      <c r="C341" s="4"/>
      <c r="D341" s="4"/>
      <c r="E341" s="4"/>
      <c r="F341" s="4"/>
      <c r="G341" s="5"/>
      <c r="H341" s="14"/>
      <c r="I341" s="14"/>
      <c r="J341" s="29" t="str">
        <f t="shared" si="3"/>
        <v/>
      </c>
      <c r="L341" s="71"/>
      <c r="M341" s="71"/>
      <c r="N341" s="71"/>
      <c r="O341" s="71"/>
      <c r="P341" s="71" t="str">
        <f>IFERROR(INDEX(RECICLADORES!C:C,MATCH(D341,RECICLADORES!B:B,0)),"")</f>
        <v/>
      </c>
      <c r="Q341" s="71" t="str">
        <f>IFERROR(INDEX(RECICLADORES!O:O,MATCH(D341,RECICLADORES!B:B,0)),"")</f>
        <v/>
      </c>
      <c r="R341" s="65"/>
      <c r="S341" s="65"/>
      <c r="T341" s="71"/>
      <c r="U341" s="71"/>
      <c r="V341" s="86"/>
    </row>
    <row r="342" spans="1:22" ht="16.5" thickTop="1" thickBot="1" x14ac:dyDescent="0.3">
      <c r="A342" s="35"/>
      <c r="B342" s="4"/>
      <c r="C342" s="4"/>
      <c r="D342" s="4"/>
      <c r="E342" s="4"/>
      <c r="F342" s="4"/>
      <c r="G342" s="5"/>
      <c r="H342" s="14"/>
      <c r="I342" s="14"/>
      <c r="J342" s="29" t="str">
        <f t="shared" si="3"/>
        <v/>
      </c>
      <c r="L342" s="71"/>
      <c r="M342" s="71"/>
      <c r="N342" s="71"/>
      <c r="O342" s="71"/>
      <c r="P342" s="71" t="str">
        <f>IFERROR(INDEX(RECICLADORES!C:C,MATCH(D342,RECICLADORES!B:B,0)),"")</f>
        <v/>
      </c>
      <c r="Q342" s="71" t="str">
        <f>IFERROR(INDEX(RECICLADORES!O:O,MATCH(D342,RECICLADORES!B:B,0)),"")</f>
        <v/>
      </c>
      <c r="R342" s="65"/>
      <c r="S342" s="65"/>
      <c r="T342" s="71"/>
      <c r="U342" s="71"/>
      <c r="V342" s="86"/>
    </row>
    <row r="343" spans="1:22" ht="16.5" thickTop="1" thickBot="1" x14ac:dyDescent="0.3">
      <c r="A343" s="34"/>
      <c r="B343" s="4"/>
      <c r="C343" s="4"/>
      <c r="D343" s="4"/>
      <c r="E343" s="4"/>
      <c r="F343" s="4"/>
      <c r="G343" s="5"/>
      <c r="H343" s="14"/>
      <c r="I343" s="14"/>
      <c r="J343" s="29" t="str">
        <f t="shared" si="3"/>
        <v/>
      </c>
      <c r="L343" s="71"/>
      <c r="M343" s="71"/>
      <c r="N343" s="71"/>
      <c r="O343" s="71"/>
      <c r="P343" s="71" t="str">
        <f>IFERROR(INDEX(RECICLADORES!C:C,MATCH(D343,RECICLADORES!B:B,0)),"")</f>
        <v/>
      </c>
      <c r="Q343" s="71" t="str">
        <f>IFERROR(INDEX(RECICLADORES!O:O,MATCH(D343,RECICLADORES!B:B,0)),"")</f>
        <v/>
      </c>
      <c r="R343" s="65"/>
      <c r="S343" s="65"/>
      <c r="T343" s="71"/>
      <c r="U343" s="71"/>
      <c r="V343" s="86"/>
    </row>
    <row r="344" spans="1:22" ht="16.5" thickTop="1" thickBot="1" x14ac:dyDescent="0.3">
      <c r="A344" s="35"/>
      <c r="B344" s="4"/>
      <c r="C344" s="4"/>
      <c r="D344" s="4"/>
      <c r="E344" s="4"/>
      <c r="F344" s="4"/>
      <c r="G344" s="5"/>
      <c r="H344" s="14"/>
      <c r="I344" s="14"/>
      <c r="J344" s="29" t="str">
        <f t="shared" si="3"/>
        <v/>
      </c>
      <c r="L344" s="71"/>
      <c r="M344" s="71"/>
      <c r="N344" s="71"/>
      <c r="O344" s="71"/>
      <c r="P344" s="71" t="str">
        <f>IFERROR(INDEX(RECICLADORES!C:C,MATCH(D344,RECICLADORES!B:B,0)),"")</f>
        <v/>
      </c>
      <c r="Q344" s="71" t="str">
        <f>IFERROR(INDEX(RECICLADORES!O:O,MATCH(D344,RECICLADORES!B:B,0)),"")</f>
        <v/>
      </c>
      <c r="R344" s="65"/>
      <c r="S344" s="65"/>
      <c r="T344" s="71"/>
      <c r="U344" s="71"/>
      <c r="V344" s="86"/>
    </row>
    <row r="345" spans="1:22" ht="16.5" thickTop="1" thickBot="1" x14ac:dyDescent="0.3">
      <c r="A345" s="34"/>
      <c r="B345" s="4"/>
      <c r="C345" s="4"/>
      <c r="D345" s="4"/>
      <c r="E345" s="4"/>
      <c r="F345" s="4"/>
      <c r="G345" s="5"/>
      <c r="H345" s="14"/>
      <c r="I345" s="14"/>
      <c r="J345" s="29" t="str">
        <f t="shared" si="3"/>
        <v/>
      </c>
      <c r="L345" s="71"/>
      <c r="M345" s="71"/>
      <c r="N345" s="71"/>
      <c r="O345" s="71"/>
      <c r="P345" s="71" t="str">
        <f>IFERROR(INDEX(RECICLADORES!C:C,MATCH(D345,RECICLADORES!B:B,0)),"")</f>
        <v/>
      </c>
      <c r="Q345" s="71" t="str">
        <f>IFERROR(INDEX(RECICLADORES!O:O,MATCH(D345,RECICLADORES!B:B,0)),"")</f>
        <v/>
      </c>
      <c r="R345" s="65"/>
      <c r="S345" s="65"/>
      <c r="T345" s="71"/>
      <c r="U345" s="71"/>
      <c r="V345" s="86"/>
    </row>
    <row r="346" spans="1:22" ht="16.5" thickTop="1" thickBot="1" x14ac:dyDescent="0.3">
      <c r="A346" s="35"/>
      <c r="B346" s="4"/>
      <c r="C346" s="4"/>
      <c r="D346" s="4"/>
      <c r="E346" s="4"/>
      <c r="F346" s="4"/>
      <c r="G346" s="5"/>
      <c r="H346" s="14"/>
      <c r="I346" s="14"/>
      <c r="J346" s="29" t="str">
        <f t="shared" si="3"/>
        <v/>
      </c>
      <c r="L346" s="71"/>
      <c r="M346" s="71"/>
      <c r="N346" s="71"/>
      <c r="O346" s="71"/>
      <c r="P346" s="71" t="str">
        <f>IFERROR(INDEX(RECICLADORES!C:C,MATCH(D346,RECICLADORES!B:B,0)),"")</f>
        <v/>
      </c>
      <c r="Q346" s="71" t="str">
        <f>IFERROR(INDEX(RECICLADORES!O:O,MATCH(D346,RECICLADORES!B:B,0)),"")</f>
        <v/>
      </c>
      <c r="R346" s="65"/>
      <c r="S346" s="65"/>
      <c r="T346" s="71"/>
      <c r="U346" s="71"/>
      <c r="V346" s="86"/>
    </row>
    <row r="347" spans="1:22" ht="16.5" thickTop="1" thickBot="1" x14ac:dyDescent="0.3">
      <c r="A347" s="34"/>
      <c r="B347" s="4"/>
      <c r="C347" s="4"/>
      <c r="D347" s="4"/>
      <c r="E347" s="4"/>
      <c r="F347" s="4"/>
      <c r="G347" s="5"/>
      <c r="H347" s="14"/>
      <c r="I347" s="14"/>
      <c r="J347" s="29" t="str">
        <f t="shared" si="3"/>
        <v/>
      </c>
      <c r="L347" s="71"/>
      <c r="M347" s="71"/>
      <c r="N347" s="71"/>
      <c r="O347" s="71"/>
      <c r="P347" s="71" t="str">
        <f>IFERROR(INDEX(RECICLADORES!C:C,MATCH(D347,RECICLADORES!B:B,0)),"")</f>
        <v/>
      </c>
      <c r="Q347" s="71" t="str">
        <f>IFERROR(INDEX(RECICLADORES!O:O,MATCH(D347,RECICLADORES!B:B,0)),"")</f>
        <v/>
      </c>
      <c r="R347" s="65"/>
      <c r="S347" s="65"/>
      <c r="T347" s="71"/>
      <c r="U347" s="71"/>
      <c r="V347" s="86"/>
    </row>
    <row r="348" spans="1:22" ht="16.5" thickTop="1" thickBot="1" x14ac:dyDescent="0.3">
      <c r="A348" s="35"/>
      <c r="B348" s="4"/>
      <c r="C348" s="4"/>
      <c r="D348" s="4"/>
      <c r="E348" s="4"/>
      <c r="F348" s="4"/>
      <c r="G348" s="5"/>
      <c r="H348" s="14"/>
      <c r="I348" s="14"/>
      <c r="J348" s="29" t="str">
        <f t="shared" si="3"/>
        <v/>
      </c>
      <c r="L348" s="71"/>
      <c r="M348" s="71"/>
      <c r="N348" s="71"/>
      <c r="O348" s="71"/>
      <c r="P348" s="71" t="str">
        <f>IFERROR(INDEX(RECICLADORES!C:C,MATCH(D348,RECICLADORES!B:B,0)),"")</f>
        <v/>
      </c>
      <c r="Q348" s="71" t="str">
        <f>IFERROR(INDEX(RECICLADORES!O:O,MATCH(D348,RECICLADORES!B:B,0)),"")</f>
        <v/>
      </c>
      <c r="R348" s="65"/>
      <c r="S348" s="65"/>
      <c r="T348" s="71"/>
      <c r="U348" s="71"/>
      <c r="V348" s="86"/>
    </row>
    <row r="349" spans="1:22" ht="16.5" thickTop="1" thickBot="1" x14ac:dyDescent="0.3">
      <c r="A349" s="34"/>
      <c r="B349" s="4"/>
      <c r="C349" s="4"/>
      <c r="D349" s="4"/>
      <c r="E349" s="4"/>
      <c r="F349" s="4"/>
      <c r="G349" s="5"/>
      <c r="H349" s="14"/>
      <c r="I349" s="14"/>
      <c r="J349" s="29" t="str">
        <f t="shared" si="3"/>
        <v/>
      </c>
      <c r="L349" s="71"/>
      <c r="M349" s="71"/>
      <c r="N349" s="71"/>
      <c r="O349" s="71"/>
      <c r="P349" s="71" t="str">
        <f>IFERROR(INDEX(RECICLADORES!C:C,MATCH(D349,RECICLADORES!B:B,0)),"")</f>
        <v/>
      </c>
      <c r="Q349" s="71" t="str">
        <f>IFERROR(INDEX(RECICLADORES!O:O,MATCH(D349,RECICLADORES!B:B,0)),"")</f>
        <v/>
      </c>
      <c r="R349" s="65"/>
      <c r="S349" s="65"/>
      <c r="T349" s="71"/>
      <c r="U349" s="71"/>
      <c r="V349" s="86"/>
    </row>
    <row r="350" spans="1:22" ht="16.5" thickTop="1" thickBot="1" x14ac:dyDescent="0.3">
      <c r="A350" s="35"/>
      <c r="B350" s="4"/>
      <c r="C350" s="4"/>
      <c r="D350" s="4"/>
      <c r="E350" s="4"/>
      <c r="F350" s="4"/>
      <c r="G350" s="5"/>
      <c r="H350" s="14"/>
      <c r="I350" s="14"/>
      <c r="J350" s="29" t="str">
        <f t="shared" si="3"/>
        <v/>
      </c>
      <c r="L350" s="71"/>
      <c r="M350" s="71"/>
      <c r="N350" s="71"/>
      <c r="O350" s="71"/>
      <c r="P350" s="71" t="str">
        <f>IFERROR(INDEX(RECICLADORES!C:C,MATCH(D350,RECICLADORES!B:B,0)),"")</f>
        <v/>
      </c>
      <c r="Q350" s="71" t="str">
        <f>IFERROR(INDEX(RECICLADORES!O:O,MATCH(D350,RECICLADORES!B:B,0)),"")</f>
        <v/>
      </c>
      <c r="R350" s="65"/>
      <c r="S350" s="65"/>
      <c r="T350" s="71"/>
      <c r="U350" s="71"/>
      <c r="V350" s="86"/>
    </row>
    <row r="351" spans="1:22" ht="16.5" thickTop="1" thickBot="1" x14ac:dyDescent="0.3">
      <c r="A351" s="34"/>
      <c r="B351" s="4"/>
      <c r="C351" s="4"/>
      <c r="D351" s="4"/>
      <c r="E351" s="4"/>
      <c r="F351" s="4"/>
      <c r="G351" s="5"/>
      <c r="H351" s="14"/>
      <c r="I351" s="14"/>
      <c r="J351" s="29" t="str">
        <f t="shared" si="3"/>
        <v/>
      </c>
      <c r="L351" s="71"/>
      <c r="M351" s="71"/>
      <c r="N351" s="71"/>
      <c r="O351" s="71"/>
      <c r="P351" s="71" t="str">
        <f>IFERROR(INDEX(RECICLADORES!C:C,MATCH(D351,RECICLADORES!B:B,0)),"")</f>
        <v/>
      </c>
      <c r="Q351" s="71" t="str">
        <f>IFERROR(INDEX(RECICLADORES!O:O,MATCH(D351,RECICLADORES!B:B,0)),"")</f>
        <v/>
      </c>
      <c r="R351" s="65"/>
      <c r="S351" s="65"/>
      <c r="T351" s="71"/>
      <c r="U351" s="71"/>
      <c r="V351" s="86"/>
    </row>
    <row r="352" spans="1:22" ht="16.5" thickTop="1" thickBot="1" x14ac:dyDescent="0.3">
      <c r="A352" s="35"/>
      <c r="B352" s="4"/>
      <c r="C352" s="4"/>
      <c r="D352" s="4"/>
      <c r="E352" s="4"/>
      <c r="F352" s="4"/>
      <c r="G352" s="5"/>
      <c r="H352" s="14"/>
      <c r="I352" s="14"/>
      <c r="J352" s="29" t="str">
        <f t="shared" si="3"/>
        <v/>
      </c>
      <c r="L352" s="71"/>
      <c r="M352" s="71"/>
      <c r="N352" s="71"/>
      <c r="O352" s="71"/>
      <c r="P352" s="71" t="str">
        <f>IFERROR(INDEX(RECICLADORES!C:C,MATCH(D352,RECICLADORES!B:B,0)),"")</f>
        <v/>
      </c>
      <c r="Q352" s="71" t="str">
        <f>IFERROR(INDEX(RECICLADORES!O:O,MATCH(D352,RECICLADORES!B:B,0)),"")</f>
        <v/>
      </c>
      <c r="R352" s="65"/>
      <c r="S352" s="65"/>
      <c r="T352" s="71"/>
      <c r="U352" s="71"/>
      <c r="V352" s="86"/>
    </row>
    <row r="353" spans="1:22" ht="16.5" thickTop="1" thickBot="1" x14ac:dyDescent="0.3">
      <c r="A353" s="34"/>
      <c r="B353" s="4"/>
      <c r="C353" s="4"/>
      <c r="D353" s="4"/>
      <c r="E353" s="4"/>
      <c r="F353" s="4"/>
      <c r="G353" s="5"/>
      <c r="H353" s="14"/>
      <c r="I353" s="14"/>
      <c r="J353" s="29" t="str">
        <f t="shared" si="3"/>
        <v/>
      </c>
      <c r="L353" s="71"/>
      <c r="M353" s="71"/>
      <c r="N353" s="71"/>
      <c r="O353" s="71"/>
      <c r="P353" s="71" t="str">
        <f>IFERROR(INDEX(RECICLADORES!C:C,MATCH(D353,RECICLADORES!B:B,0)),"")</f>
        <v/>
      </c>
      <c r="Q353" s="71" t="str">
        <f>IFERROR(INDEX(RECICLADORES!O:O,MATCH(D353,RECICLADORES!B:B,0)),"")</f>
        <v/>
      </c>
      <c r="R353" s="65"/>
      <c r="S353" s="65"/>
      <c r="T353" s="71"/>
      <c r="U353" s="71"/>
      <c r="V353" s="86"/>
    </row>
    <row r="354" spans="1:22" ht="16.5" thickTop="1" thickBot="1" x14ac:dyDescent="0.3">
      <c r="A354" s="35"/>
      <c r="B354" s="4"/>
      <c r="C354" s="4"/>
      <c r="D354" s="4"/>
      <c r="E354" s="4"/>
      <c r="F354" s="4"/>
      <c r="G354" s="5"/>
      <c r="H354" s="14"/>
      <c r="I354" s="14"/>
      <c r="J354" s="29" t="str">
        <f t="shared" si="3"/>
        <v/>
      </c>
      <c r="L354" s="71"/>
      <c r="M354" s="71"/>
      <c r="N354" s="71"/>
      <c r="O354" s="71"/>
      <c r="P354" s="71" t="str">
        <f>IFERROR(INDEX(RECICLADORES!C:C,MATCH(D354,RECICLADORES!B:B,0)),"")</f>
        <v/>
      </c>
      <c r="Q354" s="71" t="str">
        <f>IFERROR(INDEX(RECICLADORES!O:O,MATCH(D354,RECICLADORES!B:B,0)),"")</f>
        <v/>
      </c>
      <c r="R354" s="65"/>
      <c r="S354" s="65"/>
      <c r="T354" s="71"/>
      <c r="U354" s="71"/>
      <c r="V354" s="86"/>
    </row>
    <row r="355" spans="1:22" ht="16.5" thickTop="1" thickBot="1" x14ac:dyDescent="0.3">
      <c r="A355" s="34"/>
      <c r="B355" s="4"/>
      <c r="C355" s="4"/>
      <c r="D355" s="4"/>
      <c r="E355" s="4"/>
      <c r="F355" s="4"/>
      <c r="G355" s="5"/>
      <c r="H355" s="14"/>
      <c r="I355" s="14"/>
      <c r="J355" s="29" t="str">
        <f t="shared" si="3"/>
        <v/>
      </c>
      <c r="L355" s="71"/>
      <c r="M355" s="71"/>
      <c r="N355" s="71"/>
      <c r="O355" s="71"/>
      <c r="P355" s="71" t="str">
        <f>IFERROR(INDEX(RECICLADORES!C:C,MATCH(D355,RECICLADORES!B:B,0)),"")</f>
        <v/>
      </c>
      <c r="Q355" s="71" t="str">
        <f>IFERROR(INDEX(RECICLADORES!O:O,MATCH(D355,RECICLADORES!B:B,0)),"")</f>
        <v/>
      </c>
      <c r="R355" s="65"/>
      <c r="S355" s="65"/>
      <c r="T355" s="71"/>
      <c r="U355" s="71"/>
      <c r="V355" s="86"/>
    </row>
    <row r="356" spans="1:22" ht="16.5" thickTop="1" thickBot="1" x14ac:dyDescent="0.3">
      <c r="A356" s="35"/>
      <c r="B356" s="4"/>
      <c r="C356" s="4"/>
      <c r="D356" s="4"/>
      <c r="E356" s="4"/>
      <c r="F356" s="4"/>
      <c r="G356" s="5"/>
      <c r="H356" s="14"/>
      <c r="I356" s="14"/>
      <c r="J356" s="29" t="str">
        <f t="shared" si="3"/>
        <v/>
      </c>
      <c r="L356" s="71"/>
      <c r="M356" s="71"/>
      <c r="N356" s="71"/>
      <c r="O356" s="71"/>
      <c r="P356" s="71" t="str">
        <f>IFERROR(INDEX(RECICLADORES!C:C,MATCH(D356,RECICLADORES!B:B,0)),"")</f>
        <v/>
      </c>
      <c r="Q356" s="71" t="str">
        <f>IFERROR(INDEX(RECICLADORES!O:O,MATCH(D356,RECICLADORES!B:B,0)),"")</f>
        <v/>
      </c>
      <c r="R356" s="65"/>
      <c r="S356" s="65"/>
      <c r="T356" s="71"/>
      <c r="U356" s="71"/>
      <c r="V356" s="86"/>
    </row>
    <row r="357" spans="1:22" ht="16.5" thickTop="1" thickBot="1" x14ac:dyDescent="0.3">
      <c r="A357" s="34"/>
      <c r="B357" s="4"/>
      <c r="C357" s="4"/>
      <c r="D357" s="4"/>
      <c r="E357" s="4"/>
      <c r="F357" s="4"/>
      <c r="G357" s="5"/>
      <c r="H357" s="14"/>
      <c r="I357" s="14"/>
      <c r="J357" s="29" t="str">
        <f t="shared" si="3"/>
        <v/>
      </c>
      <c r="L357" s="71"/>
      <c r="M357" s="71"/>
      <c r="N357" s="71"/>
      <c r="O357" s="71"/>
      <c r="P357" s="71" t="str">
        <f>IFERROR(INDEX(RECICLADORES!C:C,MATCH(D357,RECICLADORES!B:B,0)),"")</f>
        <v/>
      </c>
      <c r="Q357" s="71" t="str">
        <f>IFERROR(INDEX(RECICLADORES!O:O,MATCH(D357,RECICLADORES!B:B,0)),"")</f>
        <v/>
      </c>
      <c r="R357" s="65"/>
      <c r="S357" s="65"/>
      <c r="T357" s="71"/>
      <c r="U357" s="71"/>
      <c r="V357" s="86"/>
    </row>
    <row r="358" spans="1:22" ht="16.5" thickTop="1" thickBot="1" x14ac:dyDescent="0.3">
      <c r="A358" s="35"/>
      <c r="B358" s="4"/>
      <c r="C358" s="4"/>
      <c r="D358" s="4"/>
      <c r="E358" s="4"/>
      <c r="F358" s="4"/>
      <c r="G358" s="5"/>
      <c r="H358" s="14"/>
      <c r="I358" s="14"/>
      <c r="J358" s="29" t="str">
        <f t="shared" si="3"/>
        <v/>
      </c>
      <c r="L358" s="71"/>
      <c r="M358" s="71"/>
      <c r="N358" s="71"/>
      <c r="O358" s="71"/>
      <c r="P358" s="71" t="str">
        <f>IFERROR(INDEX(RECICLADORES!C:C,MATCH(D358,RECICLADORES!B:B,0)),"")</f>
        <v/>
      </c>
      <c r="Q358" s="71" t="str">
        <f>IFERROR(INDEX(RECICLADORES!O:O,MATCH(D358,RECICLADORES!B:B,0)),"")</f>
        <v/>
      </c>
      <c r="R358" s="65"/>
      <c r="S358" s="65"/>
      <c r="T358" s="71"/>
      <c r="U358" s="71"/>
      <c r="V358" s="86"/>
    </row>
    <row r="359" spans="1:22" ht="16.5" thickTop="1" thickBot="1" x14ac:dyDescent="0.3">
      <c r="A359" s="34"/>
      <c r="B359" s="4"/>
      <c r="C359" s="4"/>
      <c r="D359" s="4"/>
      <c r="E359" s="4"/>
      <c r="F359" s="4"/>
      <c r="G359" s="5"/>
      <c r="H359" s="14"/>
      <c r="I359" s="14"/>
      <c r="J359" s="29" t="str">
        <f t="shared" si="3"/>
        <v/>
      </c>
      <c r="L359" s="71"/>
      <c r="M359" s="71"/>
      <c r="N359" s="71"/>
      <c r="O359" s="71"/>
      <c r="P359" s="71" t="str">
        <f>IFERROR(INDEX(RECICLADORES!C:C,MATCH(D359,RECICLADORES!B:B,0)),"")</f>
        <v/>
      </c>
      <c r="Q359" s="71" t="str">
        <f>IFERROR(INDEX(RECICLADORES!O:O,MATCH(D359,RECICLADORES!B:B,0)),"")</f>
        <v/>
      </c>
      <c r="R359" s="65"/>
      <c r="S359" s="65"/>
      <c r="T359" s="71"/>
      <c r="U359" s="71"/>
      <c r="V359" s="86"/>
    </row>
    <row r="360" spans="1:22" ht="16.5" thickTop="1" thickBot="1" x14ac:dyDescent="0.3">
      <c r="A360" s="35"/>
      <c r="B360" s="4"/>
      <c r="C360" s="4"/>
      <c r="D360" s="4"/>
      <c r="E360" s="4"/>
      <c r="F360" s="4"/>
      <c r="G360" s="5"/>
      <c r="H360" s="14"/>
      <c r="I360" s="14"/>
      <c r="J360" s="29" t="str">
        <f t="shared" si="3"/>
        <v/>
      </c>
      <c r="L360" s="71"/>
      <c r="M360" s="71"/>
      <c r="N360" s="71"/>
      <c r="O360" s="71"/>
      <c r="P360" s="71" t="str">
        <f>IFERROR(INDEX(RECICLADORES!C:C,MATCH(D360,RECICLADORES!B:B,0)),"")</f>
        <v/>
      </c>
      <c r="Q360" s="71" t="str">
        <f>IFERROR(INDEX(RECICLADORES!O:O,MATCH(D360,RECICLADORES!B:B,0)),"")</f>
        <v/>
      </c>
      <c r="R360" s="65"/>
      <c r="S360" s="65"/>
      <c r="T360" s="71"/>
      <c r="U360" s="71"/>
      <c r="V360" s="86"/>
    </row>
    <row r="361" spans="1:22" ht="16.5" thickTop="1" thickBot="1" x14ac:dyDescent="0.3">
      <c r="A361" s="34"/>
      <c r="B361" s="4"/>
      <c r="C361" s="4"/>
      <c r="D361" s="4"/>
      <c r="E361" s="4"/>
      <c r="F361" s="4"/>
      <c r="G361" s="5"/>
      <c r="H361" s="14"/>
      <c r="I361" s="14"/>
      <c r="J361" s="29" t="str">
        <f t="shared" si="3"/>
        <v/>
      </c>
      <c r="L361" s="71"/>
      <c r="M361" s="71"/>
      <c r="N361" s="71"/>
      <c r="O361" s="71"/>
      <c r="P361" s="71" t="str">
        <f>IFERROR(INDEX(RECICLADORES!C:C,MATCH(D361,RECICLADORES!B:B,0)),"")</f>
        <v/>
      </c>
      <c r="Q361" s="71" t="str">
        <f>IFERROR(INDEX(RECICLADORES!O:O,MATCH(D361,RECICLADORES!B:B,0)),"")</f>
        <v/>
      </c>
      <c r="R361" s="65"/>
      <c r="S361" s="65"/>
      <c r="T361" s="71"/>
      <c r="U361" s="71"/>
      <c r="V361" s="86"/>
    </row>
    <row r="362" spans="1:22" ht="16.5" thickTop="1" thickBot="1" x14ac:dyDescent="0.3">
      <c r="A362" s="35"/>
      <c r="B362" s="4"/>
      <c r="C362" s="4"/>
      <c r="D362" s="4"/>
      <c r="E362" s="4"/>
      <c r="F362" s="4"/>
      <c r="G362" s="5"/>
      <c r="H362" s="14"/>
      <c r="I362" s="14"/>
      <c r="J362" s="29" t="str">
        <f t="shared" si="3"/>
        <v/>
      </c>
      <c r="L362" s="71"/>
      <c r="M362" s="71"/>
      <c r="N362" s="71"/>
      <c r="O362" s="71"/>
      <c r="P362" s="71" t="str">
        <f>IFERROR(INDEX(RECICLADORES!C:C,MATCH(D362,RECICLADORES!B:B,0)),"")</f>
        <v/>
      </c>
      <c r="Q362" s="71" t="str">
        <f>IFERROR(INDEX(RECICLADORES!O:O,MATCH(D362,RECICLADORES!B:B,0)),"")</f>
        <v/>
      </c>
      <c r="R362" s="65"/>
      <c r="S362" s="65"/>
      <c r="T362" s="71"/>
      <c r="U362" s="71"/>
      <c r="V362" s="86"/>
    </row>
    <row r="363" spans="1:22" ht="16.5" thickTop="1" thickBot="1" x14ac:dyDescent="0.3">
      <c r="A363" s="34"/>
      <c r="B363" s="4"/>
      <c r="C363" s="4"/>
      <c r="D363" s="4"/>
      <c r="E363" s="4"/>
      <c r="F363" s="4"/>
      <c r="G363" s="5"/>
      <c r="H363" s="14"/>
      <c r="I363" s="14"/>
      <c r="J363" s="29" t="str">
        <f t="shared" ref="J363:J426" si="4">IF(C363="","",INT((DAY(C363)-1)/7)+1)</f>
        <v/>
      </c>
      <c r="L363" s="71"/>
      <c r="M363" s="71"/>
      <c r="N363" s="71"/>
      <c r="O363" s="71"/>
      <c r="P363" s="71" t="str">
        <f>IFERROR(INDEX(RECICLADORES!C:C,MATCH(D363,RECICLADORES!B:B,0)),"")</f>
        <v/>
      </c>
      <c r="Q363" s="71" t="str">
        <f>IFERROR(INDEX(RECICLADORES!O:O,MATCH(D363,RECICLADORES!B:B,0)),"")</f>
        <v/>
      </c>
      <c r="R363" s="65"/>
      <c r="S363" s="65"/>
      <c r="T363" s="71"/>
      <c r="U363" s="71"/>
      <c r="V363" s="86"/>
    </row>
    <row r="364" spans="1:22" ht="16.5" thickTop="1" thickBot="1" x14ac:dyDescent="0.3">
      <c r="A364" s="35"/>
      <c r="B364" s="4"/>
      <c r="C364" s="4"/>
      <c r="D364" s="4"/>
      <c r="E364" s="4"/>
      <c r="F364" s="4"/>
      <c r="G364" s="5"/>
      <c r="H364" s="14"/>
      <c r="I364" s="14"/>
      <c r="J364" s="29" t="str">
        <f t="shared" si="4"/>
        <v/>
      </c>
      <c r="L364" s="71"/>
      <c r="M364" s="71"/>
      <c r="N364" s="71"/>
      <c r="O364" s="71"/>
      <c r="P364" s="71" t="str">
        <f>IFERROR(INDEX(RECICLADORES!C:C,MATCH(D364,RECICLADORES!B:B,0)),"")</f>
        <v/>
      </c>
      <c r="Q364" s="71" t="str">
        <f>IFERROR(INDEX(RECICLADORES!O:O,MATCH(D364,RECICLADORES!B:B,0)),"")</f>
        <v/>
      </c>
      <c r="R364" s="65"/>
      <c r="S364" s="65"/>
      <c r="T364" s="71"/>
      <c r="U364" s="71"/>
      <c r="V364" s="86"/>
    </row>
    <row r="365" spans="1:22" ht="16.5" thickTop="1" thickBot="1" x14ac:dyDescent="0.3">
      <c r="A365" s="34"/>
      <c r="B365" s="4"/>
      <c r="C365" s="4"/>
      <c r="D365" s="4"/>
      <c r="E365" s="4"/>
      <c r="F365" s="4"/>
      <c r="G365" s="5"/>
      <c r="H365" s="14"/>
      <c r="I365" s="14"/>
      <c r="J365" s="29" t="str">
        <f t="shared" si="4"/>
        <v/>
      </c>
      <c r="L365" s="71"/>
      <c r="M365" s="71"/>
      <c r="N365" s="71"/>
      <c r="O365" s="71"/>
      <c r="P365" s="71" t="str">
        <f>IFERROR(INDEX(RECICLADORES!C:C,MATCH(D365,RECICLADORES!B:B,0)),"")</f>
        <v/>
      </c>
      <c r="Q365" s="71" t="str">
        <f>IFERROR(INDEX(RECICLADORES!O:O,MATCH(D365,RECICLADORES!B:B,0)),"")</f>
        <v/>
      </c>
      <c r="R365" s="65"/>
      <c r="S365" s="65"/>
      <c r="T365" s="71"/>
      <c r="U365" s="71"/>
      <c r="V365" s="86"/>
    </row>
    <row r="366" spans="1:22" ht="16.5" thickTop="1" thickBot="1" x14ac:dyDescent="0.3">
      <c r="A366" s="35"/>
      <c r="B366" s="4"/>
      <c r="C366" s="4"/>
      <c r="D366" s="4"/>
      <c r="E366" s="4"/>
      <c r="F366" s="4"/>
      <c r="G366" s="5"/>
      <c r="H366" s="14"/>
      <c r="I366" s="14"/>
      <c r="J366" s="29" t="str">
        <f t="shared" si="4"/>
        <v/>
      </c>
      <c r="L366" s="71"/>
      <c r="M366" s="71"/>
      <c r="N366" s="71"/>
      <c r="O366" s="71"/>
      <c r="P366" s="71" t="str">
        <f>IFERROR(INDEX(RECICLADORES!C:C,MATCH(D366,RECICLADORES!B:B,0)),"")</f>
        <v/>
      </c>
      <c r="Q366" s="71" t="str">
        <f>IFERROR(INDEX(RECICLADORES!O:O,MATCH(D366,RECICLADORES!B:B,0)),"")</f>
        <v/>
      </c>
      <c r="R366" s="65"/>
      <c r="S366" s="65"/>
      <c r="T366" s="71"/>
      <c r="U366" s="71"/>
      <c r="V366" s="86"/>
    </row>
    <row r="367" spans="1:22" ht="16.5" thickTop="1" thickBot="1" x14ac:dyDescent="0.3">
      <c r="A367" s="35"/>
      <c r="B367" s="4"/>
      <c r="C367" s="4"/>
      <c r="D367" s="4"/>
      <c r="E367" s="4"/>
      <c r="F367" s="4"/>
      <c r="G367" s="5"/>
      <c r="H367" s="14"/>
      <c r="I367" s="14"/>
      <c r="J367" s="29" t="str">
        <f t="shared" si="4"/>
        <v/>
      </c>
      <c r="L367" s="71"/>
      <c r="M367" s="71"/>
      <c r="N367" s="71"/>
      <c r="O367" s="71"/>
      <c r="P367" s="71" t="str">
        <f>IFERROR(INDEX(RECICLADORES!C:C,MATCH(D367,RECICLADORES!B:B,0)),"")</f>
        <v/>
      </c>
      <c r="Q367" s="71" t="str">
        <f>IFERROR(INDEX(RECICLADORES!O:O,MATCH(D367,RECICLADORES!B:B,0)),"")</f>
        <v/>
      </c>
      <c r="R367" s="65"/>
      <c r="S367" s="65"/>
      <c r="T367" s="71"/>
      <c r="U367" s="71"/>
      <c r="V367" s="86"/>
    </row>
    <row r="368" spans="1:22" ht="16.5" thickTop="1" thickBot="1" x14ac:dyDescent="0.3">
      <c r="A368" s="34"/>
      <c r="B368" s="4"/>
      <c r="C368" s="4"/>
      <c r="D368" s="4"/>
      <c r="E368" s="4"/>
      <c r="F368" s="4"/>
      <c r="G368" s="5"/>
      <c r="H368" s="14"/>
      <c r="I368" s="14"/>
      <c r="J368" s="29" t="str">
        <f t="shared" si="4"/>
        <v/>
      </c>
      <c r="L368" s="71"/>
      <c r="M368" s="71"/>
      <c r="N368" s="71"/>
      <c r="O368" s="71"/>
      <c r="P368" s="71" t="str">
        <f>IFERROR(INDEX(RECICLADORES!C:C,MATCH(D368,RECICLADORES!B:B,0)),"")</f>
        <v/>
      </c>
      <c r="Q368" s="71" t="str">
        <f>IFERROR(INDEX(RECICLADORES!O:O,MATCH(D368,RECICLADORES!B:B,0)),"")</f>
        <v/>
      </c>
      <c r="R368" s="65"/>
      <c r="S368" s="65"/>
      <c r="T368" s="71"/>
      <c r="U368" s="71"/>
      <c r="V368" s="86"/>
    </row>
    <row r="369" spans="1:22" ht="16.5" thickTop="1" thickBot="1" x14ac:dyDescent="0.3">
      <c r="A369" s="35"/>
      <c r="B369" s="4"/>
      <c r="C369" s="4"/>
      <c r="D369" s="4"/>
      <c r="E369" s="4"/>
      <c r="F369" s="4"/>
      <c r="G369" s="5"/>
      <c r="H369" s="14"/>
      <c r="I369" s="14"/>
      <c r="J369" s="29" t="str">
        <f t="shared" si="4"/>
        <v/>
      </c>
      <c r="L369" s="71"/>
      <c r="M369" s="71"/>
      <c r="N369" s="71"/>
      <c r="O369" s="71"/>
      <c r="P369" s="71" t="str">
        <f>IFERROR(INDEX(RECICLADORES!C:C,MATCH(D369,RECICLADORES!B:B,0)),"")</f>
        <v/>
      </c>
      <c r="Q369" s="71" t="str">
        <f>IFERROR(INDEX(RECICLADORES!O:O,MATCH(D369,RECICLADORES!B:B,0)),"")</f>
        <v/>
      </c>
      <c r="R369" s="65"/>
      <c r="S369" s="65"/>
      <c r="T369" s="71"/>
      <c r="U369" s="71"/>
      <c r="V369" s="86"/>
    </row>
    <row r="370" spans="1:22" ht="16.5" thickTop="1" thickBot="1" x14ac:dyDescent="0.3">
      <c r="A370" s="34"/>
      <c r="B370" s="4"/>
      <c r="C370" s="4"/>
      <c r="D370" s="4"/>
      <c r="E370" s="4"/>
      <c r="F370" s="4"/>
      <c r="G370" s="5"/>
      <c r="H370" s="14"/>
      <c r="I370" s="14"/>
      <c r="J370" s="29" t="str">
        <f t="shared" si="4"/>
        <v/>
      </c>
      <c r="L370" s="71"/>
      <c r="M370" s="71"/>
      <c r="N370" s="71"/>
      <c r="O370" s="71"/>
      <c r="P370" s="71" t="str">
        <f>IFERROR(INDEX(RECICLADORES!C:C,MATCH(D370,RECICLADORES!B:B,0)),"")</f>
        <v/>
      </c>
      <c r="Q370" s="71" t="str">
        <f>IFERROR(INDEX(RECICLADORES!O:O,MATCH(D370,RECICLADORES!B:B,0)),"")</f>
        <v/>
      </c>
      <c r="R370" s="65"/>
      <c r="S370" s="65"/>
      <c r="T370" s="71"/>
      <c r="U370" s="71"/>
      <c r="V370" s="86"/>
    </row>
    <row r="371" spans="1:22" ht="16.5" thickTop="1" thickBot="1" x14ac:dyDescent="0.3">
      <c r="A371" s="35"/>
      <c r="B371" s="4"/>
      <c r="C371" s="4"/>
      <c r="D371" s="4"/>
      <c r="E371" s="4"/>
      <c r="F371" s="4"/>
      <c r="G371" s="5"/>
      <c r="H371" s="14"/>
      <c r="I371" s="14"/>
      <c r="J371" s="29" t="str">
        <f t="shared" si="4"/>
        <v/>
      </c>
      <c r="L371" s="71"/>
      <c r="M371" s="71"/>
      <c r="N371" s="71"/>
      <c r="O371" s="71"/>
      <c r="P371" s="71" t="str">
        <f>IFERROR(INDEX(RECICLADORES!C:C,MATCH(D371,RECICLADORES!B:B,0)),"")</f>
        <v/>
      </c>
      <c r="Q371" s="71" t="str">
        <f>IFERROR(INDEX(RECICLADORES!O:O,MATCH(D371,RECICLADORES!B:B,0)),"")</f>
        <v/>
      </c>
      <c r="R371" s="65"/>
      <c r="S371" s="65"/>
      <c r="T371" s="71"/>
      <c r="U371" s="71"/>
      <c r="V371" s="86"/>
    </row>
    <row r="372" spans="1:22" ht="16.5" thickTop="1" thickBot="1" x14ac:dyDescent="0.3">
      <c r="A372" s="34"/>
      <c r="B372" s="4"/>
      <c r="C372" s="4"/>
      <c r="D372" s="4"/>
      <c r="E372" s="4"/>
      <c r="F372" s="4"/>
      <c r="G372" s="5"/>
      <c r="H372" s="14"/>
      <c r="I372" s="14"/>
      <c r="J372" s="29" t="str">
        <f t="shared" si="4"/>
        <v/>
      </c>
      <c r="L372" s="71"/>
      <c r="M372" s="71"/>
      <c r="N372" s="71"/>
      <c r="O372" s="71"/>
      <c r="P372" s="71" t="str">
        <f>IFERROR(INDEX(RECICLADORES!C:C,MATCH(D372,RECICLADORES!B:B,0)),"")</f>
        <v/>
      </c>
      <c r="Q372" s="71" t="str">
        <f>IFERROR(INDEX(RECICLADORES!O:O,MATCH(D372,RECICLADORES!B:B,0)),"")</f>
        <v/>
      </c>
      <c r="R372" s="65"/>
      <c r="S372" s="65"/>
      <c r="T372" s="71"/>
      <c r="U372" s="71"/>
      <c r="V372" s="86"/>
    </row>
    <row r="373" spans="1:22" ht="16.5" thickTop="1" thickBot="1" x14ac:dyDescent="0.3">
      <c r="A373" s="35"/>
      <c r="B373" s="4"/>
      <c r="C373" s="4"/>
      <c r="D373" s="4"/>
      <c r="E373" s="4"/>
      <c r="F373" s="4"/>
      <c r="G373" s="5"/>
      <c r="H373" s="14"/>
      <c r="I373" s="14"/>
      <c r="J373" s="29" t="str">
        <f t="shared" si="4"/>
        <v/>
      </c>
      <c r="L373" s="71"/>
      <c r="M373" s="71"/>
      <c r="N373" s="71"/>
      <c r="O373" s="71"/>
      <c r="P373" s="71" t="str">
        <f>IFERROR(INDEX(RECICLADORES!C:C,MATCH(D373,RECICLADORES!B:B,0)),"")</f>
        <v/>
      </c>
      <c r="Q373" s="71" t="str">
        <f>IFERROR(INDEX(RECICLADORES!O:O,MATCH(D373,RECICLADORES!B:B,0)),"")</f>
        <v/>
      </c>
      <c r="R373" s="65"/>
      <c r="S373" s="65"/>
      <c r="T373" s="71"/>
      <c r="U373" s="71"/>
      <c r="V373" s="86"/>
    </row>
    <row r="374" spans="1:22" ht="16.5" thickTop="1" thickBot="1" x14ac:dyDescent="0.3">
      <c r="A374" s="34"/>
      <c r="B374" s="4"/>
      <c r="C374" s="4"/>
      <c r="D374" s="4"/>
      <c r="E374" s="4"/>
      <c r="F374" s="4"/>
      <c r="G374" s="5"/>
      <c r="H374" s="14"/>
      <c r="I374" s="14"/>
      <c r="J374" s="29" t="str">
        <f t="shared" si="4"/>
        <v/>
      </c>
      <c r="L374" s="71"/>
      <c r="M374" s="71"/>
      <c r="N374" s="71"/>
      <c r="O374" s="71"/>
      <c r="P374" s="71" t="str">
        <f>IFERROR(INDEX(RECICLADORES!C:C,MATCH(D374,RECICLADORES!B:B,0)),"")</f>
        <v/>
      </c>
      <c r="Q374" s="71" t="str">
        <f>IFERROR(INDEX(RECICLADORES!O:O,MATCH(D374,RECICLADORES!B:B,0)),"")</f>
        <v/>
      </c>
      <c r="R374" s="65"/>
      <c r="S374" s="65"/>
      <c r="T374" s="71"/>
      <c r="U374" s="71"/>
      <c r="V374" s="86"/>
    </row>
    <row r="375" spans="1:22" ht="16.5" thickTop="1" thickBot="1" x14ac:dyDescent="0.3">
      <c r="A375" s="35"/>
      <c r="B375" s="4"/>
      <c r="C375" s="4"/>
      <c r="D375" s="4"/>
      <c r="E375" s="4"/>
      <c r="F375" s="4"/>
      <c r="G375" s="5"/>
      <c r="H375" s="14"/>
      <c r="I375" s="14"/>
      <c r="J375" s="29" t="str">
        <f t="shared" si="4"/>
        <v/>
      </c>
      <c r="L375" s="71"/>
      <c r="M375" s="71"/>
      <c r="N375" s="71"/>
      <c r="O375" s="71"/>
      <c r="P375" s="71" t="str">
        <f>IFERROR(INDEX(RECICLADORES!C:C,MATCH(D375,RECICLADORES!B:B,0)),"")</f>
        <v/>
      </c>
      <c r="Q375" s="71" t="str">
        <f>IFERROR(INDEX(RECICLADORES!O:O,MATCH(D375,RECICLADORES!B:B,0)),"")</f>
        <v/>
      </c>
      <c r="R375" s="65"/>
      <c r="S375" s="65"/>
      <c r="T375" s="71"/>
      <c r="U375" s="71"/>
      <c r="V375" s="86"/>
    </row>
    <row r="376" spans="1:22" ht="16.5" thickTop="1" thickBot="1" x14ac:dyDescent="0.3">
      <c r="A376" s="34"/>
      <c r="B376" s="4"/>
      <c r="C376" s="4"/>
      <c r="D376" s="4"/>
      <c r="E376" s="4"/>
      <c r="F376" s="4"/>
      <c r="G376" s="5"/>
      <c r="H376" s="14"/>
      <c r="I376" s="14"/>
      <c r="J376" s="29" t="str">
        <f t="shared" si="4"/>
        <v/>
      </c>
      <c r="L376" s="71"/>
      <c r="M376" s="71"/>
      <c r="N376" s="71"/>
      <c r="O376" s="71"/>
      <c r="P376" s="71" t="str">
        <f>IFERROR(INDEX(RECICLADORES!C:C,MATCH(D376,RECICLADORES!B:B,0)),"")</f>
        <v/>
      </c>
      <c r="Q376" s="71" t="str">
        <f>IFERROR(INDEX(RECICLADORES!O:O,MATCH(D376,RECICLADORES!B:B,0)),"")</f>
        <v/>
      </c>
      <c r="R376" s="65"/>
      <c r="S376" s="65"/>
      <c r="T376" s="71"/>
      <c r="U376" s="71"/>
      <c r="V376" s="86"/>
    </row>
    <row r="377" spans="1:22" ht="16.5" thickTop="1" thickBot="1" x14ac:dyDescent="0.3">
      <c r="A377" s="35"/>
      <c r="B377" s="4"/>
      <c r="C377" s="4"/>
      <c r="D377" s="4"/>
      <c r="E377" s="4"/>
      <c r="F377" s="4"/>
      <c r="G377" s="5"/>
      <c r="H377" s="14"/>
      <c r="I377" s="14"/>
      <c r="J377" s="29" t="str">
        <f t="shared" si="4"/>
        <v/>
      </c>
      <c r="L377" s="71"/>
      <c r="M377" s="71"/>
      <c r="N377" s="71"/>
      <c r="O377" s="71"/>
      <c r="P377" s="71" t="str">
        <f>IFERROR(INDEX(RECICLADORES!C:C,MATCH(D377,RECICLADORES!B:B,0)),"")</f>
        <v/>
      </c>
      <c r="Q377" s="71" t="str">
        <f>IFERROR(INDEX(RECICLADORES!O:O,MATCH(D377,RECICLADORES!B:B,0)),"")</f>
        <v/>
      </c>
      <c r="R377" s="65"/>
      <c r="S377" s="65"/>
      <c r="T377" s="71"/>
      <c r="U377" s="71"/>
      <c r="V377" s="86"/>
    </row>
    <row r="378" spans="1:22" ht="16.5" thickTop="1" thickBot="1" x14ac:dyDescent="0.3">
      <c r="A378" s="34"/>
      <c r="B378" s="4"/>
      <c r="C378" s="4"/>
      <c r="D378" s="4"/>
      <c r="E378" s="4"/>
      <c r="F378" s="4"/>
      <c r="G378" s="5"/>
      <c r="H378" s="14"/>
      <c r="I378" s="14"/>
      <c r="J378" s="29" t="str">
        <f t="shared" si="4"/>
        <v/>
      </c>
      <c r="L378" s="71"/>
      <c r="M378" s="71"/>
      <c r="N378" s="71"/>
      <c r="O378" s="71"/>
      <c r="P378" s="71" t="str">
        <f>IFERROR(INDEX(RECICLADORES!C:C,MATCH(D378,RECICLADORES!B:B,0)),"")</f>
        <v/>
      </c>
      <c r="Q378" s="71" t="str">
        <f>IFERROR(INDEX(RECICLADORES!O:O,MATCH(D378,RECICLADORES!B:B,0)),"")</f>
        <v/>
      </c>
      <c r="R378" s="65"/>
      <c r="S378" s="65"/>
      <c r="T378" s="71"/>
      <c r="U378" s="71"/>
      <c r="V378" s="86"/>
    </row>
    <row r="379" spans="1:22" ht="16.5" thickTop="1" thickBot="1" x14ac:dyDescent="0.3">
      <c r="A379" s="35"/>
      <c r="B379" s="4"/>
      <c r="C379" s="4"/>
      <c r="D379" s="4"/>
      <c r="E379" s="4"/>
      <c r="F379" s="4"/>
      <c r="G379" s="5"/>
      <c r="H379" s="14"/>
      <c r="I379" s="14"/>
      <c r="J379" s="29" t="str">
        <f t="shared" si="4"/>
        <v/>
      </c>
      <c r="L379" s="71"/>
      <c r="M379" s="71"/>
      <c r="N379" s="71"/>
      <c r="O379" s="71"/>
      <c r="P379" s="71" t="str">
        <f>IFERROR(INDEX(RECICLADORES!C:C,MATCH(D379,RECICLADORES!B:B,0)),"")</f>
        <v/>
      </c>
      <c r="Q379" s="71" t="str">
        <f>IFERROR(INDEX(RECICLADORES!O:O,MATCH(D379,RECICLADORES!B:B,0)),"")</f>
        <v/>
      </c>
      <c r="R379" s="65"/>
      <c r="S379" s="65"/>
      <c r="T379" s="71"/>
      <c r="U379" s="71"/>
      <c r="V379" s="86"/>
    </row>
    <row r="380" spans="1:22" ht="16.5" thickTop="1" thickBot="1" x14ac:dyDescent="0.3">
      <c r="A380" s="34"/>
      <c r="B380" s="4"/>
      <c r="C380" s="4"/>
      <c r="D380" s="4"/>
      <c r="E380" s="4"/>
      <c r="F380" s="4"/>
      <c r="G380" s="5"/>
      <c r="H380" s="14"/>
      <c r="I380" s="14"/>
      <c r="J380" s="29" t="str">
        <f t="shared" si="4"/>
        <v/>
      </c>
      <c r="L380" s="71"/>
      <c r="M380" s="71"/>
      <c r="N380" s="71"/>
      <c r="O380" s="71"/>
      <c r="P380" s="71" t="str">
        <f>IFERROR(INDEX(RECICLADORES!C:C,MATCH(D380,RECICLADORES!B:B,0)),"")</f>
        <v/>
      </c>
      <c r="Q380" s="71" t="str">
        <f>IFERROR(INDEX(RECICLADORES!O:O,MATCH(D380,RECICLADORES!B:B,0)),"")</f>
        <v/>
      </c>
      <c r="R380" s="65"/>
      <c r="S380" s="65"/>
      <c r="T380" s="71"/>
      <c r="U380" s="71"/>
      <c r="V380" s="86"/>
    </row>
    <row r="381" spans="1:22" ht="16.5" thickTop="1" thickBot="1" x14ac:dyDescent="0.3">
      <c r="A381" s="35"/>
      <c r="B381" s="4"/>
      <c r="C381" s="4"/>
      <c r="D381" s="4"/>
      <c r="E381" s="4"/>
      <c r="F381" s="4"/>
      <c r="G381" s="5"/>
      <c r="H381" s="14"/>
      <c r="I381" s="14"/>
      <c r="J381" s="29" t="str">
        <f t="shared" si="4"/>
        <v/>
      </c>
      <c r="L381" s="71"/>
      <c r="M381" s="71"/>
      <c r="N381" s="71"/>
      <c r="O381" s="71"/>
      <c r="P381" s="71" t="str">
        <f>IFERROR(INDEX(RECICLADORES!C:C,MATCH(D381,RECICLADORES!B:B,0)),"")</f>
        <v/>
      </c>
      <c r="Q381" s="71" t="str">
        <f>IFERROR(INDEX(RECICLADORES!O:O,MATCH(D381,RECICLADORES!B:B,0)),"")</f>
        <v/>
      </c>
      <c r="R381" s="65"/>
      <c r="S381" s="65"/>
      <c r="T381" s="71"/>
      <c r="U381" s="71"/>
      <c r="V381" s="86"/>
    </row>
    <row r="382" spans="1:22" ht="16.5" thickTop="1" thickBot="1" x14ac:dyDescent="0.3">
      <c r="A382" s="34"/>
      <c r="B382" s="4"/>
      <c r="C382" s="4"/>
      <c r="D382" s="4"/>
      <c r="E382" s="4"/>
      <c r="F382" s="4"/>
      <c r="G382" s="5"/>
      <c r="H382" s="14"/>
      <c r="I382" s="14"/>
      <c r="J382" s="29" t="str">
        <f t="shared" si="4"/>
        <v/>
      </c>
      <c r="L382" s="71"/>
      <c r="M382" s="71"/>
      <c r="N382" s="71"/>
      <c r="O382" s="71"/>
      <c r="P382" s="71" t="str">
        <f>IFERROR(INDEX(RECICLADORES!C:C,MATCH(D382,RECICLADORES!B:B,0)),"")</f>
        <v/>
      </c>
      <c r="Q382" s="71" t="str">
        <f>IFERROR(INDEX(RECICLADORES!O:O,MATCH(D382,RECICLADORES!B:B,0)),"")</f>
        <v/>
      </c>
      <c r="R382" s="65"/>
      <c r="S382" s="65"/>
      <c r="T382" s="71"/>
      <c r="U382" s="71"/>
      <c r="V382" s="86"/>
    </row>
    <row r="383" spans="1:22" ht="16.5" thickTop="1" thickBot="1" x14ac:dyDescent="0.3">
      <c r="A383" s="35"/>
      <c r="B383" s="4"/>
      <c r="C383" s="4"/>
      <c r="D383" s="4"/>
      <c r="E383" s="4"/>
      <c r="F383" s="4"/>
      <c r="G383" s="5"/>
      <c r="H383" s="14"/>
      <c r="I383" s="14"/>
      <c r="J383" s="29" t="str">
        <f t="shared" si="4"/>
        <v/>
      </c>
      <c r="L383" s="71"/>
      <c r="M383" s="71"/>
      <c r="N383" s="71"/>
      <c r="O383" s="71"/>
      <c r="P383" s="71" t="str">
        <f>IFERROR(INDEX(RECICLADORES!C:C,MATCH(D383,RECICLADORES!B:B,0)),"")</f>
        <v/>
      </c>
      <c r="Q383" s="71" t="str">
        <f>IFERROR(INDEX(RECICLADORES!O:O,MATCH(D383,RECICLADORES!B:B,0)),"")</f>
        <v/>
      </c>
      <c r="R383" s="65"/>
      <c r="S383" s="65"/>
      <c r="T383" s="71"/>
      <c r="U383" s="71"/>
      <c r="V383" s="86"/>
    </row>
    <row r="384" spans="1:22" ht="16.5" thickTop="1" thickBot="1" x14ac:dyDescent="0.3">
      <c r="A384" s="34"/>
      <c r="B384" s="4"/>
      <c r="C384" s="4"/>
      <c r="D384" s="4"/>
      <c r="E384" s="4"/>
      <c r="F384" s="4"/>
      <c r="G384" s="5"/>
      <c r="H384" s="14"/>
      <c r="I384" s="14"/>
      <c r="J384" s="29" t="str">
        <f t="shared" si="4"/>
        <v/>
      </c>
      <c r="L384" s="71"/>
      <c r="M384" s="71"/>
      <c r="N384" s="71"/>
      <c r="O384" s="71"/>
      <c r="P384" s="71" t="str">
        <f>IFERROR(INDEX(RECICLADORES!C:C,MATCH(D384,RECICLADORES!B:B,0)),"")</f>
        <v/>
      </c>
      <c r="Q384" s="71" t="str">
        <f>IFERROR(INDEX(RECICLADORES!O:O,MATCH(D384,RECICLADORES!B:B,0)),"")</f>
        <v/>
      </c>
      <c r="R384" s="65"/>
      <c r="S384" s="65"/>
      <c r="T384" s="71"/>
      <c r="U384" s="71"/>
      <c r="V384" s="86"/>
    </row>
    <row r="385" spans="1:22" ht="16.5" thickTop="1" thickBot="1" x14ac:dyDescent="0.3">
      <c r="A385" s="35"/>
      <c r="B385" s="4"/>
      <c r="C385" s="4"/>
      <c r="D385" s="4"/>
      <c r="E385" s="4"/>
      <c r="F385" s="4"/>
      <c r="G385" s="5"/>
      <c r="H385" s="14"/>
      <c r="I385" s="14"/>
      <c r="J385" s="29" t="str">
        <f t="shared" si="4"/>
        <v/>
      </c>
      <c r="L385" s="71"/>
      <c r="M385" s="71"/>
      <c r="N385" s="71"/>
      <c r="O385" s="71"/>
      <c r="P385" s="71" t="str">
        <f>IFERROR(INDEX(RECICLADORES!C:C,MATCH(D385,RECICLADORES!B:B,0)),"")</f>
        <v/>
      </c>
      <c r="Q385" s="71" t="str">
        <f>IFERROR(INDEX(RECICLADORES!O:O,MATCH(D385,RECICLADORES!B:B,0)),"")</f>
        <v/>
      </c>
      <c r="R385" s="65"/>
      <c r="S385" s="65"/>
      <c r="T385" s="71"/>
      <c r="U385" s="71"/>
      <c r="V385" s="86"/>
    </row>
    <row r="386" spans="1:22" ht="16.5" thickTop="1" thickBot="1" x14ac:dyDescent="0.3">
      <c r="A386" s="34"/>
      <c r="B386" s="4"/>
      <c r="C386" s="4"/>
      <c r="D386" s="4"/>
      <c r="E386" s="4"/>
      <c r="F386" s="4"/>
      <c r="G386" s="5"/>
      <c r="H386" s="14"/>
      <c r="I386" s="14"/>
      <c r="J386" s="29" t="str">
        <f t="shared" si="4"/>
        <v/>
      </c>
      <c r="L386" s="71"/>
      <c r="M386" s="71"/>
      <c r="N386" s="71"/>
      <c r="O386" s="71"/>
      <c r="P386" s="71" t="str">
        <f>IFERROR(INDEX(RECICLADORES!C:C,MATCH(D386,RECICLADORES!B:B,0)),"")</f>
        <v/>
      </c>
      <c r="Q386" s="71" t="str">
        <f>IFERROR(INDEX(RECICLADORES!O:O,MATCH(D386,RECICLADORES!B:B,0)),"")</f>
        <v/>
      </c>
      <c r="R386" s="65"/>
      <c r="S386" s="65"/>
      <c r="T386" s="71"/>
      <c r="U386" s="71"/>
      <c r="V386" s="86"/>
    </row>
    <row r="387" spans="1:22" ht="16.5" thickTop="1" thickBot="1" x14ac:dyDescent="0.3">
      <c r="A387" s="35"/>
      <c r="B387" s="4"/>
      <c r="C387" s="4"/>
      <c r="D387" s="4"/>
      <c r="E387" s="4"/>
      <c r="F387" s="4"/>
      <c r="G387" s="5"/>
      <c r="H387" s="14"/>
      <c r="I387" s="14"/>
      <c r="J387" s="29" t="str">
        <f t="shared" si="4"/>
        <v/>
      </c>
      <c r="L387" s="71"/>
      <c r="M387" s="71"/>
      <c r="N387" s="71"/>
      <c r="O387" s="71"/>
      <c r="P387" s="71" t="str">
        <f>IFERROR(INDEX(RECICLADORES!C:C,MATCH(D387,RECICLADORES!B:B,0)),"")</f>
        <v/>
      </c>
      <c r="Q387" s="71" t="str">
        <f>IFERROR(INDEX(RECICLADORES!O:O,MATCH(D387,RECICLADORES!B:B,0)),"")</f>
        <v/>
      </c>
      <c r="R387" s="65"/>
      <c r="S387" s="65"/>
      <c r="T387" s="71"/>
      <c r="U387" s="71"/>
      <c r="V387" s="86"/>
    </row>
    <row r="388" spans="1:22" ht="16.5" thickTop="1" thickBot="1" x14ac:dyDescent="0.3">
      <c r="A388" s="34"/>
      <c r="B388" s="4"/>
      <c r="C388" s="4"/>
      <c r="D388" s="4"/>
      <c r="E388" s="4"/>
      <c r="F388" s="4"/>
      <c r="G388" s="5"/>
      <c r="H388" s="14"/>
      <c r="I388" s="14"/>
      <c r="J388" s="29" t="str">
        <f t="shared" si="4"/>
        <v/>
      </c>
      <c r="L388" s="71"/>
      <c r="M388" s="71"/>
      <c r="N388" s="71"/>
      <c r="O388" s="71"/>
      <c r="P388" s="71" t="str">
        <f>IFERROR(INDEX(RECICLADORES!C:C,MATCH(D388,RECICLADORES!B:B,0)),"")</f>
        <v/>
      </c>
      <c r="Q388" s="71" t="str">
        <f>IFERROR(INDEX(RECICLADORES!O:O,MATCH(D388,RECICLADORES!B:B,0)),"")</f>
        <v/>
      </c>
      <c r="R388" s="65"/>
      <c r="S388" s="65"/>
      <c r="T388" s="71"/>
      <c r="U388" s="71"/>
      <c r="V388" s="86"/>
    </row>
    <row r="389" spans="1:22" ht="16.5" thickTop="1" thickBot="1" x14ac:dyDescent="0.3">
      <c r="A389" s="35"/>
      <c r="B389" s="4"/>
      <c r="C389" s="4"/>
      <c r="D389" s="4"/>
      <c r="E389" s="4"/>
      <c r="F389" s="4"/>
      <c r="G389" s="5"/>
      <c r="H389" s="14"/>
      <c r="I389" s="14"/>
      <c r="J389" s="29" t="str">
        <f t="shared" si="4"/>
        <v/>
      </c>
      <c r="L389" s="71"/>
      <c r="M389" s="71"/>
      <c r="N389" s="71"/>
      <c r="O389" s="71"/>
      <c r="P389" s="71" t="str">
        <f>IFERROR(INDEX(RECICLADORES!C:C,MATCH(D389,RECICLADORES!B:B,0)),"")</f>
        <v/>
      </c>
      <c r="Q389" s="71" t="str">
        <f>IFERROR(INDEX(RECICLADORES!O:O,MATCH(D389,RECICLADORES!B:B,0)),"")</f>
        <v/>
      </c>
      <c r="R389" s="65"/>
      <c r="S389" s="65"/>
      <c r="T389" s="71"/>
      <c r="U389" s="71"/>
      <c r="V389" s="86"/>
    </row>
    <row r="390" spans="1:22" ht="16.5" thickTop="1" thickBot="1" x14ac:dyDescent="0.3">
      <c r="A390" s="34"/>
      <c r="B390" s="4"/>
      <c r="C390" s="4"/>
      <c r="D390" s="4"/>
      <c r="E390" s="4"/>
      <c r="F390" s="4"/>
      <c r="G390" s="5"/>
      <c r="H390" s="14"/>
      <c r="I390" s="14"/>
      <c r="J390" s="29" t="str">
        <f t="shared" si="4"/>
        <v/>
      </c>
      <c r="L390" s="71"/>
      <c r="M390" s="71"/>
      <c r="N390" s="71"/>
      <c r="O390" s="71"/>
      <c r="P390" s="71" t="str">
        <f>IFERROR(INDEX(RECICLADORES!C:C,MATCH(D390,RECICLADORES!B:B,0)),"")</f>
        <v/>
      </c>
      <c r="Q390" s="71" t="str">
        <f>IFERROR(INDEX(RECICLADORES!O:O,MATCH(D390,RECICLADORES!B:B,0)),"")</f>
        <v/>
      </c>
      <c r="R390" s="65"/>
      <c r="S390" s="65"/>
      <c r="T390" s="71"/>
      <c r="U390" s="71"/>
      <c r="V390" s="86"/>
    </row>
    <row r="391" spans="1:22" ht="16.5" thickTop="1" thickBot="1" x14ac:dyDescent="0.3">
      <c r="A391" s="35"/>
      <c r="B391" s="4"/>
      <c r="C391" s="4"/>
      <c r="D391" s="4"/>
      <c r="E391" s="4"/>
      <c r="F391" s="4"/>
      <c r="G391" s="5"/>
      <c r="H391" s="14"/>
      <c r="I391" s="14"/>
      <c r="J391" s="29" t="str">
        <f t="shared" si="4"/>
        <v/>
      </c>
      <c r="L391" s="71"/>
      <c r="M391" s="71"/>
      <c r="N391" s="71"/>
      <c r="O391" s="71"/>
      <c r="P391" s="71" t="str">
        <f>IFERROR(INDEX(RECICLADORES!C:C,MATCH(D391,RECICLADORES!B:B,0)),"")</f>
        <v/>
      </c>
      <c r="Q391" s="71" t="str">
        <f>IFERROR(INDEX(RECICLADORES!O:O,MATCH(D391,RECICLADORES!B:B,0)),"")</f>
        <v/>
      </c>
      <c r="R391" s="65"/>
      <c r="S391" s="65"/>
      <c r="T391" s="71"/>
      <c r="U391" s="71"/>
      <c r="V391" s="86"/>
    </row>
    <row r="392" spans="1:22" ht="16.5" thickTop="1" thickBot="1" x14ac:dyDescent="0.3">
      <c r="A392" s="34"/>
      <c r="B392" s="4"/>
      <c r="C392" s="4"/>
      <c r="D392" s="4"/>
      <c r="E392" s="4"/>
      <c r="F392" s="4"/>
      <c r="G392" s="5"/>
      <c r="H392" s="14"/>
      <c r="I392" s="14"/>
      <c r="J392" s="29" t="str">
        <f t="shared" si="4"/>
        <v/>
      </c>
      <c r="L392" s="71"/>
      <c r="M392" s="71"/>
      <c r="N392" s="71"/>
      <c r="O392" s="71"/>
      <c r="P392" s="71" t="str">
        <f>IFERROR(INDEX(RECICLADORES!C:C,MATCH(D392,RECICLADORES!B:B,0)),"")</f>
        <v/>
      </c>
      <c r="Q392" s="71" t="str">
        <f>IFERROR(INDEX(RECICLADORES!O:O,MATCH(D392,RECICLADORES!B:B,0)),"")</f>
        <v/>
      </c>
      <c r="R392" s="65"/>
      <c r="S392" s="65"/>
      <c r="T392" s="71"/>
      <c r="U392" s="71"/>
      <c r="V392" s="86"/>
    </row>
    <row r="393" spans="1:22" ht="16.5" thickTop="1" thickBot="1" x14ac:dyDescent="0.3">
      <c r="A393" s="35"/>
      <c r="B393" s="4"/>
      <c r="C393" s="4"/>
      <c r="D393" s="4"/>
      <c r="E393" s="4"/>
      <c r="F393" s="4"/>
      <c r="G393" s="5"/>
      <c r="H393" s="14"/>
      <c r="I393" s="14"/>
      <c r="J393" s="29" t="str">
        <f t="shared" si="4"/>
        <v/>
      </c>
      <c r="L393" s="71"/>
      <c r="M393" s="71"/>
      <c r="N393" s="71"/>
      <c r="O393" s="71"/>
      <c r="P393" s="71" t="str">
        <f>IFERROR(INDEX(RECICLADORES!C:C,MATCH(D393,RECICLADORES!B:B,0)),"")</f>
        <v/>
      </c>
      <c r="Q393" s="71" t="str">
        <f>IFERROR(INDEX(RECICLADORES!O:O,MATCH(D393,RECICLADORES!B:B,0)),"")</f>
        <v/>
      </c>
      <c r="R393" s="65"/>
      <c r="S393" s="65"/>
      <c r="T393" s="71"/>
      <c r="U393" s="71"/>
      <c r="V393" s="86"/>
    </row>
    <row r="394" spans="1:22" ht="16.5" thickTop="1" thickBot="1" x14ac:dyDescent="0.3">
      <c r="A394" s="34"/>
      <c r="B394" s="4"/>
      <c r="C394" s="4"/>
      <c r="D394" s="4"/>
      <c r="E394" s="4"/>
      <c r="F394" s="4"/>
      <c r="G394" s="5"/>
      <c r="H394" s="14"/>
      <c r="I394" s="14"/>
      <c r="J394" s="29" t="str">
        <f t="shared" si="4"/>
        <v/>
      </c>
      <c r="L394" s="71"/>
      <c r="M394" s="71"/>
      <c r="N394" s="71"/>
      <c r="O394" s="71"/>
      <c r="P394" s="71" t="str">
        <f>IFERROR(INDEX(RECICLADORES!C:C,MATCH(D394,RECICLADORES!B:B,0)),"")</f>
        <v/>
      </c>
      <c r="Q394" s="71" t="str">
        <f>IFERROR(INDEX(RECICLADORES!O:O,MATCH(D394,RECICLADORES!B:B,0)),"")</f>
        <v/>
      </c>
      <c r="R394" s="65"/>
      <c r="S394" s="65"/>
      <c r="T394" s="71"/>
      <c r="U394" s="71"/>
      <c r="V394" s="86"/>
    </row>
    <row r="395" spans="1:22" ht="16.5" thickTop="1" thickBot="1" x14ac:dyDescent="0.3">
      <c r="A395" s="35"/>
      <c r="B395" s="4"/>
      <c r="C395" s="4"/>
      <c r="D395" s="4"/>
      <c r="E395" s="4"/>
      <c r="F395" s="4"/>
      <c r="G395" s="5"/>
      <c r="H395" s="14"/>
      <c r="I395" s="14"/>
      <c r="J395" s="29" t="str">
        <f t="shared" si="4"/>
        <v/>
      </c>
      <c r="L395" s="71"/>
      <c r="M395" s="71"/>
      <c r="N395" s="71"/>
      <c r="O395" s="71"/>
      <c r="P395" s="71" t="str">
        <f>IFERROR(INDEX(RECICLADORES!C:C,MATCH(D395,RECICLADORES!B:B,0)),"")</f>
        <v/>
      </c>
      <c r="Q395" s="71" t="str">
        <f>IFERROR(INDEX(RECICLADORES!O:O,MATCH(D395,RECICLADORES!B:B,0)),"")</f>
        <v/>
      </c>
      <c r="R395" s="65"/>
      <c r="S395" s="65"/>
      <c r="T395" s="71"/>
      <c r="U395" s="71"/>
      <c r="V395" s="86"/>
    </row>
    <row r="396" spans="1:22" ht="16.5" thickTop="1" thickBot="1" x14ac:dyDescent="0.3">
      <c r="A396" s="35"/>
      <c r="B396" s="4"/>
      <c r="C396" s="4"/>
      <c r="D396" s="4"/>
      <c r="E396" s="4"/>
      <c r="F396" s="4"/>
      <c r="G396" s="5"/>
      <c r="H396" s="14"/>
      <c r="I396" s="14"/>
      <c r="J396" s="29" t="str">
        <f t="shared" si="4"/>
        <v/>
      </c>
      <c r="L396" s="71"/>
      <c r="M396" s="71"/>
      <c r="N396" s="71"/>
      <c r="O396" s="71"/>
      <c r="P396" s="71" t="str">
        <f>IFERROR(INDEX(RECICLADORES!C:C,MATCH(D396,RECICLADORES!B:B,0)),"")</f>
        <v/>
      </c>
      <c r="Q396" s="71" t="str">
        <f>IFERROR(INDEX(RECICLADORES!O:O,MATCH(D396,RECICLADORES!B:B,0)),"")</f>
        <v/>
      </c>
      <c r="R396" s="65"/>
      <c r="S396" s="65"/>
      <c r="T396" s="71"/>
      <c r="U396" s="71"/>
      <c r="V396" s="86"/>
    </row>
    <row r="397" spans="1:22" ht="16.5" thickTop="1" thickBot="1" x14ac:dyDescent="0.3">
      <c r="A397" s="34"/>
      <c r="B397" s="4"/>
      <c r="C397" s="4"/>
      <c r="D397" s="4"/>
      <c r="E397" s="4"/>
      <c r="F397" s="4"/>
      <c r="G397" s="5"/>
      <c r="H397" s="14"/>
      <c r="I397" s="14"/>
      <c r="J397" s="29" t="str">
        <f t="shared" si="4"/>
        <v/>
      </c>
      <c r="L397" s="71"/>
      <c r="M397" s="71"/>
      <c r="N397" s="71"/>
      <c r="O397" s="71"/>
      <c r="P397" s="71" t="str">
        <f>IFERROR(INDEX(RECICLADORES!C:C,MATCH(D397,RECICLADORES!B:B,0)),"")</f>
        <v/>
      </c>
      <c r="Q397" s="71" t="str">
        <f>IFERROR(INDEX(RECICLADORES!O:O,MATCH(D397,RECICLADORES!B:B,0)),"")</f>
        <v/>
      </c>
      <c r="R397" s="65"/>
      <c r="S397" s="65"/>
      <c r="T397" s="71"/>
      <c r="U397" s="71"/>
      <c r="V397" s="86"/>
    </row>
    <row r="398" spans="1:22" ht="16.5" thickTop="1" thickBot="1" x14ac:dyDescent="0.3">
      <c r="A398" s="35"/>
      <c r="B398" s="4"/>
      <c r="C398" s="4"/>
      <c r="D398" s="4"/>
      <c r="E398" s="4"/>
      <c r="F398" s="4"/>
      <c r="G398" s="5"/>
      <c r="H398" s="14"/>
      <c r="I398" s="14"/>
      <c r="J398" s="29" t="str">
        <f t="shared" si="4"/>
        <v/>
      </c>
      <c r="L398" s="71"/>
      <c r="M398" s="71"/>
      <c r="N398" s="71"/>
      <c r="O398" s="71"/>
      <c r="P398" s="71" t="str">
        <f>IFERROR(INDEX(RECICLADORES!C:C,MATCH(D398,RECICLADORES!B:B,0)),"")</f>
        <v/>
      </c>
      <c r="Q398" s="71" t="str">
        <f>IFERROR(INDEX(RECICLADORES!O:O,MATCH(D398,RECICLADORES!B:B,0)),"")</f>
        <v/>
      </c>
      <c r="R398" s="65"/>
      <c r="S398" s="65"/>
      <c r="T398" s="71"/>
      <c r="U398" s="71"/>
      <c r="V398" s="86"/>
    </row>
    <row r="399" spans="1:22" ht="16.5" thickTop="1" thickBot="1" x14ac:dyDescent="0.3">
      <c r="A399" s="34"/>
      <c r="B399" s="4"/>
      <c r="C399" s="4"/>
      <c r="D399" s="4"/>
      <c r="E399" s="4"/>
      <c r="F399" s="4"/>
      <c r="G399" s="5"/>
      <c r="H399" s="14"/>
      <c r="I399" s="14"/>
      <c r="J399" s="29" t="str">
        <f t="shared" si="4"/>
        <v/>
      </c>
      <c r="L399" s="71"/>
      <c r="M399" s="71"/>
      <c r="N399" s="71"/>
      <c r="O399" s="71"/>
      <c r="P399" s="71" t="str">
        <f>IFERROR(INDEX(RECICLADORES!C:C,MATCH(D399,RECICLADORES!B:B,0)),"")</f>
        <v/>
      </c>
      <c r="Q399" s="71" t="str">
        <f>IFERROR(INDEX(RECICLADORES!O:O,MATCH(D399,RECICLADORES!B:B,0)),"")</f>
        <v/>
      </c>
      <c r="R399" s="65"/>
      <c r="S399" s="65"/>
      <c r="T399" s="71"/>
      <c r="U399" s="71"/>
      <c r="V399" s="86"/>
    </row>
    <row r="400" spans="1:22" ht="16.5" thickTop="1" thickBot="1" x14ac:dyDescent="0.3">
      <c r="A400" s="35"/>
      <c r="B400" s="4"/>
      <c r="C400" s="4"/>
      <c r="D400" s="4"/>
      <c r="E400" s="4"/>
      <c r="F400" s="4"/>
      <c r="G400" s="5"/>
      <c r="H400" s="14"/>
      <c r="I400" s="14"/>
      <c r="J400" s="29" t="str">
        <f t="shared" si="4"/>
        <v/>
      </c>
      <c r="L400" s="71"/>
      <c r="M400" s="71"/>
      <c r="N400" s="71"/>
      <c r="O400" s="71"/>
      <c r="P400" s="71" t="str">
        <f>IFERROR(INDEX(RECICLADORES!C:C,MATCH(D400,RECICLADORES!B:B,0)),"")</f>
        <v/>
      </c>
      <c r="Q400" s="71" t="str">
        <f>IFERROR(INDEX(RECICLADORES!O:O,MATCH(D400,RECICLADORES!B:B,0)),"")</f>
        <v/>
      </c>
      <c r="R400" s="65"/>
      <c r="S400" s="65"/>
      <c r="T400" s="71"/>
      <c r="U400" s="71"/>
      <c r="V400" s="86"/>
    </row>
    <row r="401" spans="1:22" ht="16.5" thickTop="1" thickBot="1" x14ac:dyDescent="0.3">
      <c r="A401" s="34"/>
      <c r="B401" s="4"/>
      <c r="C401" s="4"/>
      <c r="D401" s="4"/>
      <c r="E401" s="4"/>
      <c r="F401" s="4"/>
      <c r="G401" s="5"/>
      <c r="H401" s="14"/>
      <c r="I401" s="14"/>
      <c r="J401" s="29" t="str">
        <f t="shared" si="4"/>
        <v/>
      </c>
      <c r="L401" s="71"/>
      <c r="M401" s="71"/>
      <c r="N401" s="71"/>
      <c r="O401" s="71"/>
      <c r="P401" s="71" t="str">
        <f>IFERROR(INDEX(RECICLADORES!C:C,MATCH(D401,RECICLADORES!B:B,0)),"")</f>
        <v/>
      </c>
      <c r="Q401" s="71" t="str">
        <f>IFERROR(INDEX(RECICLADORES!O:O,MATCH(D401,RECICLADORES!B:B,0)),"")</f>
        <v/>
      </c>
      <c r="R401" s="65"/>
      <c r="S401" s="65"/>
      <c r="T401" s="71"/>
      <c r="U401" s="71"/>
      <c r="V401" s="86"/>
    </row>
    <row r="402" spans="1:22" ht="16.5" thickTop="1" thickBot="1" x14ac:dyDescent="0.3">
      <c r="A402" s="35"/>
      <c r="B402" s="4"/>
      <c r="C402" s="4"/>
      <c r="D402" s="4"/>
      <c r="E402" s="4"/>
      <c r="F402" s="4"/>
      <c r="G402" s="5"/>
      <c r="H402" s="14"/>
      <c r="I402" s="14"/>
      <c r="J402" s="29" t="str">
        <f t="shared" si="4"/>
        <v/>
      </c>
      <c r="L402" s="71"/>
      <c r="M402" s="71"/>
      <c r="N402" s="71"/>
      <c r="O402" s="71"/>
      <c r="P402" s="71" t="str">
        <f>IFERROR(INDEX(RECICLADORES!C:C,MATCH(D402,RECICLADORES!B:B,0)),"")</f>
        <v/>
      </c>
      <c r="Q402" s="71" t="str">
        <f>IFERROR(INDEX(RECICLADORES!O:O,MATCH(D402,RECICLADORES!B:B,0)),"")</f>
        <v/>
      </c>
      <c r="R402" s="65"/>
      <c r="S402" s="65"/>
      <c r="T402" s="71"/>
      <c r="U402" s="71"/>
      <c r="V402" s="86"/>
    </row>
    <row r="403" spans="1:22" ht="16.5" thickTop="1" thickBot="1" x14ac:dyDescent="0.3">
      <c r="A403" s="34"/>
      <c r="B403" s="4"/>
      <c r="C403" s="4"/>
      <c r="D403" s="4"/>
      <c r="E403" s="4"/>
      <c r="F403" s="4"/>
      <c r="G403" s="5"/>
      <c r="H403" s="14"/>
      <c r="I403" s="14"/>
      <c r="J403" s="29" t="str">
        <f t="shared" si="4"/>
        <v/>
      </c>
      <c r="L403" s="71"/>
      <c r="M403" s="71"/>
      <c r="N403" s="71"/>
      <c r="O403" s="71"/>
      <c r="P403" s="71" t="str">
        <f>IFERROR(INDEX(RECICLADORES!C:C,MATCH(D403,RECICLADORES!B:B,0)),"")</f>
        <v/>
      </c>
      <c r="Q403" s="71" t="str">
        <f>IFERROR(INDEX(RECICLADORES!O:O,MATCH(D403,RECICLADORES!B:B,0)),"")</f>
        <v/>
      </c>
      <c r="R403" s="65"/>
      <c r="S403" s="65"/>
      <c r="T403" s="71"/>
      <c r="U403" s="71"/>
      <c r="V403" s="86"/>
    </row>
    <row r="404" spans="1:22" ht="16.5" thickTop="1" thickBot="1" x14ac:dyDescent="0.3">
      <c r="A404" s="35"/>
      <c r="B404" s="4"/>
      <c r="C404" s="4"/>
      <c r="D404" s="4"/>
      <c r="E404" s="4"/>
      <c r="F404" s="4"/>
      <c r="G404" s="5"/>
      <c r="H404" s="14"/>
      <c r="I404" s="14"/>
      <c r="J404" s="29" t="str">
        <f t="shared" si="4"/>
        <v/>
      </c>
      <c r="L404" s="71"/>
      <c r="M404" s="71"/>
      <c r="N404" s="71"/>
      <c r="O404" s="71"/>
      <c r="P404" s="71" t="str">
        <f>IFERROR(INDEX(RECICLADORES!C:C,MATCH(D404,RECICLADORES!B:B,0)),"")</f>
        <v/>
      </c>
      <c r="Q404" s="71" t="str">
        <f>IFERROR(INDEX(RECICLADORES!O:O,MATCH(D404,RECICLADORES!B:B,0)),"")</f>
        <v/>
      </c>
      <c r="R404" s="65"/>
      <c r="S404" s="65"/>
      <c r="T404" s="71"/>
      <c r="U404" s="71"/>
      <c r="V404" s="86"/>
    </row>
    <row r="405" spans="1:22" ht="16.5" thickTop="1" thickBot="1" x14ac:dyDescent="0.3">
      <c r="A405" s="34"/>
      <c r="B405" s="4"/>
      <c r="C405" s="4"/>
      <c r="D405" s="4"/>
      <c r="E405" s="4"/>
      <c r="F405" s="4"/>
      <c r="G405" s="5"/>
      <c r="H405" s="14"/>
      <c r="I405" s="14"/>
      <c r="J405" s="29" t="str">
        <f t="shared" si="4"/>
        <v/>
      </c>
      <c r="L405" s="71"/>
      <c r="M405" s="71"/>
      <c r="N405" s="71"/>
      <c r="O405" s="71"/>
      <c r="P405" s="71" t="str">
        <f>IFERROR(INDEX(RECICLADORES!C:C,MATCH(D405,RECICLADORES!B:B,0)),"")</f>
        <v/>
      </c>
      <c r="Q405" s="71" t="str">
        <f>IFERROR(INDEX(RECICLADORES!O:O,MATCH(D405,RECICLADORES!B:B,0)),"")</f>
        <v/>
      </c>
      <c r="R405" s="65"/>
      <c r="S405" s="65"/>
      <c r="T405" s="71"/>
      <c r="U405" s="71"/>
      <c r="V405" s="86"/>
    </row>
    <row r="406" spans="1:22" ht="16.5" thickTop="1" thickBot="1" x14ac:dyDescent="0.3">
      <c r="A406" s="35"/>
      <c r="B406" s="4"/>
      <c r="C406" s="4"/>
      <c r="D406" s="4"/>
      <c r="E406" s="4"/>
      <c r="F406" s="4"/>
      <c r="G406" s="5"/>
      <c r="H406" s="14"/>
      <c r="I406" s="14"/>
      <c r="J406" s="29" t="str">
        <f t="shared" si="4"/>
        <v/>
      </c>
      <c r="L406" s="71"/>
      <c r="M406" s="71"/>
      <c r="N406" s="71"/>
      <c r="O406" s="71"/>
      <c r="P406" s="71" t="str">
        <f>IFERROR(INDEX(RECICLADORES!C:C,MATCH(D406,RECICLADORES!B:B,0)),"")</f>
        <v/>
      </c>
      <c r="Q406" s="71" t="str">
        <f>IFERROR(INDEX(RECICLADORES!O:O,MATCH(D406,RECICLADORES!B:B,0)),"")</f>
        <v/>
      </c>
      <c r="R406" s="65"/>
      <c r="S406" s="65"/>
      <c r="T406" s="71"/>
      <c r="U406" s="71"/>
      <c r="V406" s="86"/>
    </row>
    <row r="407" spans="1:22" ht="16.5" thickTop="1" thickBot="1" x14ac:dyDescent="0.3">
      <c r="A407" s="34"/>
      <c r="B407" s="4"/>
      <c r="C407" s="4"/>
      <c r="D407" s="4"/>
      <c r="E407" s="4"/>
      <c r="F407" s="4"/>
      <c r="G407" s="5"/>
      <c r="H407" s="14"/>
      <c r="I407" s="14"/>
      <c r="J407" s="29" t="str">
        <f t="shared" si="4"/>
        <v/>
      </c>
      <c r="L407" s="71"/>
      <c r="M407" s="71"/>
      <c r="N407" s="71"/>
      <c r="O407" s="71"/>
      <c r="P407" s="71" t="str">
        <f>IFERROR(INDEX(RECICLADORES!C:C,MATCH(D407,RECICLADORES!B:B,0)),"")</f>
        <v/>
      </c>
      <c r="Q407" s="71" t="str">
        <f>IFERROR(INDEX(RECICLADORES!O:O,MATCH(D407,RECICLADORES!B:B,0)),"")</f>
        <v/>
      </c>
      <c r="R407" s="65"/>
      <c r="S407" s="65"/>
      <c r="T407" s="71"/>
      <c r="U407" s="71"/>
      <c r="V407" s="86"/>
    </row>
    <row r="408" spans="1:22" ht="16.5" thickTop="1" thickBot="1" x14ac:dyDescent="0.3">
      <c r="A408" s="35"/>
      <c r="B408" s="4"/>
      <c r="C408" s="4"/>
      <c r="D408" s="4"/>
      <c r="E408" s="4"/>
      <c r="F408" s="4"/>
      <c r="G408" s="5"/>
      <c r="H408" s="14"/>
      <c r="I408" s="14"/>
      <c r="J408" s="29" t="str">
        <f t="shared" si="4"/>
        <v/>
      </c>
      <c r="L408" s="71"/>
      <c r="M408" s="71"/>
      <c r="N408" s="71"/>
      <c r="O408" s="71"/>
      <c r="P408" s="71" t="str">
        <f>IFERROR(INDEX(RECICLADORES!C:C,MATCH(D408,RECICLADORES!B:B,0)),"")</f>
        <v/>
      </c>
      <c r="Q408" s="71" t="str">
        <f>IFERROR(INDEX(RECICLADORES!O:O,MATCH(D408,RECICLADORES!B:B,0)),"")</f>
        <v/>
      </c>
      <c r="R408" s="65"/>
      <c r="S408" s="65"/>
      <c r="T408" s="71"/>
      <c r="U408" s="71"/>
      <c r="V408" s="86"/>
    </row>
    <row r="409" spans="1:22" ht="16.5" thickTop="1" thickBot="1" x14ac:dyDescent="0.3">
      <c r="A409" s="34"/>
      <c r="B409" s="4"/>
      <c r="C409" s="4"/>
      <c r="D409" s="4"/>
      <c r="E409" s="4"/>
      <c r="F409" s="4"/>
      <c r="G409" s="5"/>
      <c r="H409" s="14"/>
      <c r="I409" s="14"/>
      <c r="J409" s="29" t="str">
        <f t="shared" si="4"/>
        <v/>
      </c>
      <c r="L409" s="71"/>
      <c r="M409" s="71"/>
      <c r="N409" s="71"/>
      <c r="O409" s="71"/>
      <c r="P409" s="71" t="str">
        <f>IFERROR(INDEX(RECICLADORES!C:C,MATCH(D409,RECICLADORES!B:B,0)),"")</f>
        <v/>
      </c>
      <c r="Q409" s="71" t="str">
        <f>IFERROR(INDEX(RECICLADORES!O:O,MATCH(D409,RECICLADORES!B:B,0)),"")</f>
        <v/>
      </c>
      <c r="R409" s="65"/>
      <c r="S409" s="65"/>
      <c r="T409" s="71"/>
      <c r="U409" s="71"/>
      <c r="V409" s="86"/>
    </row>
    <row r="410" spans="1:22" ht="16.5" thickTop="1" thickBot="1" x14ac:dyDescent="0.3">
      <c r="A410" s="35"/>
      <c r="B410" s="4"/>
      <c r="C410" s="4"/>
      <c r="D410" s="4"/>
      <c r="E410" s="4"/>
      <c r="F410" s="4"/>
      <c r="G410" s="5"/>
      <c r="H410" s="14"/>
      <c r="I410" s="14"/>
      <c r="J410" s="29" t="str">
        <f t="shared" si="4"/>
        <v/>
      </c>
      <c r="L410" s="71"/>
      <c r="M410" s="71"/>
      <c r="N410" s="71"/>
      <c r="O410" s="71"/>
      <c r="P410" s="71" t="str">
        <f>IFERROR(INDEX(RECICLADORES!C:C,MATCH(D410,RECICLADORES!B:B,0)),"")</f>
        <v/>
      </c>
      <c r="Q410" s="71" t="str">
        <f>IFERROR(INDEX(RECICLADORES!O:O,MATCH(D410,RECICLADORES!B:B,0)),"")</f>
        <v/>
      </c>
      <c r="R410" s="65"/>
      <c r="S410" s="65"/>
      <c r="T410" s="71"/>
      <c r="U410" s="71"/>
      <c r="V410" s="86"/>
    </row>
    <row r="411" spans="1:22" ht="16.5" thickTop="1" thickBot="1" x14ac:dyDescent="0.3">
      <c r="A411" s="34"/>
      <c r="B411" s="4"/>
      <c r="C411" s="4"/>
      <c r="D411" s="4"/>
      <c r="E411" s="4"/>
      <c r="F411" s="4"/>
      <c r="G411" s="5"/>
      <c r="H411" s="14"/>
      <c r="I411" s="14"/>
      <c r="J411" s="29" t="str">
        <f t="shared" si="4"/>
        <v/>
      </c>
      <c r="L411" s="71"/>
      <c r="M411" s="71"/>
      <c r="N411" s="71"/>
      <c r="O411" s="71"/>
      <c r="P411" s="71" t="str">
        <f>IFERROR(INDEX(RECICLADORES!C:C,MATCH(D411,RECICLADORES!B:B,0)),"")</f>
        <v/>
      </c>
      <c r="Q411" s="71" t="str">
        <f>IFERROR(INDEX(RECICLADORES!O:O,MATCH(D411,RECICLADORES!B:B,0)),"")</f>
        <v/>
      </c>
      <c r="R411" s="65"/>
      <c r="S411" s="65"/>
      <c r="T411" s="71"/>
      <c r="U411" s="71"/>
      <c r="V411" s="86"/>
    </row>
    <row r="412" spans="1:22" ht="16.5" thickTop="1" thickBot="1" x14ac:dyDescent="0.3">
      <c r="A412" s="35"/>
      <c r="B412" s="4"/>
      <c r="C412" s="4"/>
      <c r="D412" s="4"/>
      <c r="E412" s="4"/>
      <c r="F412" s="4"/>
      <c r="G412" s="5"/>
      <c r="H412" s="14"/>
      <c r="I412" s="14"/>
      <c r="J412" s="29" t="str">
        <f t="shared" si="4"/>
        <v/>
      </c>
      <c r="L412" s="71"/>
      <c r="M412" s="71"/>
      <c r="N412" s="71"/>
      <c r="O412" s="71"/>
      <c r="P412" s="71" t="str">
        <f>IFERROR(INDEX(RECICLADORES!C:C,MATCH(D412,RECICLADORES!B:B,0)),"")</f>
        <v/>
      </c>
      <c r="Q412" s="71" t="str">
        <f>IFERROR(INDEX(RECICLADORES!O:O,MATCH(D412,RECICLADORES!B:B,0)),"")</f>
        <v/>
      </c>
      <c r="R412" s="65"/>
      <c r="S412" s="65"/>
      <c r="T412" s="71"/>
      <c r="U412" s="71"/>
      <c r="V412" s="86"/>
    </row>
    <row r="413" spans="1:22" ht="16.5" thickTop="1" thickBot="1" x14ac:dyDescent="0.3">
      <c r="A413" s="34"/>
      <c r="B413" s="4"/>
      <c r="C413" s="4"/>
      <c r="D413" s="4"/>
      <c r="E413" s="4"/>
      <c r="F413" s="4"/>
      <c r="G413" s="5"/>
      <c r="H413" s="14"/>
      <c r="I413" s="14"/>
      <c r="J413" s="29" t="str">
        <f t="shared" si="4"/>
        <v/>
      </c>
      <c r="L413" s="71"/>
      <c r="M413" s="71"/>
      <c r="N413" s="71"/>
      <c r="O413" s="71"/>
      <c r="P413" s="71" t="str">
        <f>IFERROR(INDEX(RECICLADORES!C:C,MATCH(D413,RECICLADORES!B:B,0)),"")</f>
        <v/>
      </c>
      <c r="Q413" s="71" t="str">
        <f>IFERROR(INDEX(RECICLADORES!O:O,MATCH(D413,RECICLADORES!B:B,0)),"")</f>
        <v/>
      </c>
      <c r="R413" s="65"/>
      <c r="S413" s="65"/>
      <c r="T413" s="71"/>
      <c r="U413" s="71"/>
      <c r="V413" s="86"/>
    </row>
    <row r="414" spans="1:22" ht="16.5" thickTop="1" thickBot="1" x14ac:dyDescent="0.3">
      <c r="A414" s="35"/>
      <c r="B414" s="4"/>
      <c r="C414" s="4"/>
      <c r="D414" s="4"/>
      <c r="E414" s="4"/>
      <c r="F414" s="4"/>
      <c r="G414" s="5"/>
      <c r="H414" s="14"/>
      <c r="I414" s="14"/>
      <c r="J414" s="29" t="str">
        <f t="shared" si="4"/>
        <v/>
      </c>
      <c r="L414" s="71"/>
      <c r="M414" s="71"/>
      <c r="N414" s="71"/>
      <c r="O414" s="71"/>
      <c r="P414" s="71" t="str">
        <f>IFERROR(INDEX(RECICLADORES!C:C,MATCH(D414,RECICLADORES!B:B,0)),"")</f>
        <v/>
      </c>
      <c r="Q414" s="71" t="str">
        <f>IFERROR(INDEX(RECICLADORES!O:O,MATCH(D414,RECICLADORES!B:B,0)),"")</f>
        <v/>
      </c>
      <c r="R414" s="65"/>
      <c r="S414" s="65"/>
      <c r="T414" s="71"/>
      <c r="U414" s="71"/>
      <c r="V414" s="86"/>
    </row>
    <row r="415" spans="1:22" ht="16.5" thickTop="1" thickBot="1" x14ac:dyDescent="0.3">
      <c r="A415" s="34"/>
      <c r="B415" s="4"/>
      <c r="C415" s="4"/>
      <c r="D415" s="4"/>
      <c r="E415" s="4"/>
      <c r="F415" s="4"/>
      <c r="G415" s="5"/>
      <c r="H415" s="14"/>
      <c r="I415" s="14"/>
      <c r="J415" s="29" t="str">
        <f t="shared" si="4"/>
        <v/>
      </c>
      <c r="L415" s="71"/>
      <c r="M415" s="71"/>
      <c r="N415" s="71"/>
      <c r="O415" s="71"/>
      <c r="P415" s="71" t="str">
        <f>IFERROR(INDEX(RECICLADORES!C:C,MATCH(D415,RECICLADORES!B:B,0)),"")</f>
        <v/>
      </c>
      <c r="Q415" s="71" t="str">
        <f>IFERROR(INDEX(RECICLADORES!O:O,MATCH(D415,RECICLADORES!B:B,0)),"")</f>
        <v/>
      </c>
      <c r="R415" s="65"/>
      <c r="S415" s="65"/>
      <c r="T415" s="71"/>
      <c r="U415" s="71"/>
      <c r="V415" s="86"/>
    </row>
    <row r="416" spans="1:22" ht="16.5" thickTop="1" thickBot="1" x14ac:dyDescent="0.3">
      <c r="A416" s="35"/>
      <c r="B416" s="4"/>
      <c r="C416" s="4"/>
      <c r="D416" s="4"/>
      <c r="E416" s="4"/>
      <c r="F416" s="4"/>
      <c r="G416" s="5"/>
      <c r="H416" s="14"/>
      <c r="I416" s="14"/>
      <c r="J416" s="29" t="str">
        <f t="shared" si="4"/>
        <v/>
      </c>
      <c r="L416" s="71"/>
      <c r="M416" s="71"/>
      <c r="N416" s="71"/>
      <c r="O416" s="71"/>
      <c r="P416" s="71" t="str">
        <f>IFERROR(INDEX(RECICLADORES!C:C,MATCH(D416,RECICLADORES!B:B,0)),"")</f>
        <v/>
      </c>
      <c r="Q416" s="71" t="str">
        <f>IFERROR(INDEX(RECICLADORES!O:O,MATCH(D416,RECICLADORES!B:B,0)),"")</f>
        <v/>
      </c>
      <c r="R416" s="65"/>
      <c r="S416" s="65"/>
      <c r="T416" s="71"/>
      <c r="U416" s="71"/>
      <c r="V416" s="86"/>
    </row>
    <row r="417" spans="1:22" ht="16.5" thickTop="1" thickBot="1" x14ac:dyDescent="0.3">
      <c r="A417" s="34"/>
      <c r="B417" s="4"/>
      <c r="C417" s="4"/>
      <c r="D417" s="4"/>
      <c r="E417" s="4"/>
      <c r="F417" s="4"/>
      <c r="G417" s="5"/>
      <c r="H417" s="14"/>
      <c r="I417" s="14"/>
      <c r="J417" s="29" t="str">
        <f t="shared" si="4"/>
        <v/>
      </c>
      <c r="L417" s="71"/>
      <c r="M417" s="71"/>
      <c r="N417" s="71"/>
      <c r="O417" s="71"/>
      <c r="P417" s="71" t="str">
        <f>IFERROR(INDEX(RECICLADORES!C:C,MATCH(D417,RECICLADORES!B:B,0)),"")</f>
        <v/>
      </c>
      <c r="Q417" s="71" t="str">
        <f>IFERROR(INDEX(RECICLADORES!O:O,MATCH(D417,RECICLADORES!B:B,0)),"")</f>
        <v/>
      </c>
      <c r="R417" s="65"/>
      <c r="S417" s="65"/>
      <c r="T417" s="71"/>
      <c r="U417" s="71"/>
      <c r="V417" s="86"/>
    </row>
    <row r="418" spans="1:22" ht="16.5" thickTop="1" thickBot="1" x14ac:dyDescent="0.3">
      <c r="A418" s="35"/>
      <c r="B418" s="4"/>
      <c r="C418" s="4"/>
      <c r="D418" s="4"/>
      <c r="E418" s="4"/>
      <c r="F418" s="4"/>
      <c r="G418" s="5"/>
      <c r="H418" s="14"/>
      <c r="I418" s="14"/>
      <c r="J418" s="29" t="str">
        <f t="shared" si="4"/>
        <v/>
      </c>
      <c r="L418" s="71"/>
      <c r="M418" s="71"/>
      <c r="N418" s="71"/>
      <c r="O418" s="71"/>
      <c r="P418" s="71" t="str">
        <f>IFERROR(INDEX(RECICLADORES!C:C,MATCH(D418,RECICLADORES!B:B,0)),"")</f>
        <v/>
      </c>
      <c r="Q418" s="71" t="str">
        <f>IFERROR(INDEX(RECICLADORES!O:O,MATCH(D418,RECICLADORES!B:B,0)),"")</f>
        <v/>
      </c>
      <c r="R418" s="65"/>
      <c r="S418" s="65"/>
      <c r="T418" s="71"/>
      <c r="U418" s="71"/>
      <c r="V418" s="86"/>
    </row>
    <row r="419" spans="1:22" ht="16.5" thickTop="1" thickBot="1" x14ac:dyDescent="0.3">
      <c r="A419" s="34"/>
      <c r="B419" s="4"/>
      <c r="C419" s="4"/>
      <c r="D419" s="4"/>
      <c r="E419" s="4"/>
      <c r="F419" s="4"/>
      <c r="G419" s="5"/>
      <c r="H419" s="14"/>
      <c r="I419" s="14"/>
      <c r="J419" s="29" t="str">
        <f t="shared" si="4"/>
        <v/>
      </c>
      <c r="L419" s="71"/>
      <c r="M419" s="71"/>
      <c r="N419" s="71"/>
      <c r="O419" s="71"/>
      <c r="P419" s="71" t="str">
        <f>IFERROR(INDEX(RECICLADORES!C:C,MATCH(D419,RECICLADORES!B:B,0)),"")</f>
        <v/>
      </c>
      <c r="Q419" s="71" t="str">
        <f>IFERROR(INDEX(RECICLADORES!O:O,MATCH(D419,RECICLADORES!B:B,0)),"")</f>
        <v/>
      </c>
      <c r="R419" s="65"/>
      <c r="S419" s="65"/>
      <c r="T419" s="71"/>
      <c r="U419" s="71"/>
      <c r="V419" s="86"/>
    </row>
    <row r="420" spans="1:22" ht="16.5" thickTop="1" thickBot="1" x14ac:dyDescent="0.3">
      <c r="A420" s="35"/>
      <c r="B420" s="4"/>
      <c r="C420" s="4"/>
      <c r="D420" s="4"/>
      <c r="E420" s="4"/>
      <c r="F420" s="4"/>
      <c r="G420" s="5"/>
      <c r="H420" s="14"/>
      <c r="I420" s="14"/>
      <c r="J420" s="29" t="str">
        <f t="shared" si="4"/>
        <v/>
      </c>
      <c r="L420" s="71"/>
      <c r="M420" s="71"/>
      <c r="N420" s="71"/>
      <c r="O420" s="71"/>
      <c r="P420" s="71" t="str">
        <f>IFERROR(INDEX(RECICLADORES!C:C,MATCH(D420,RECICLADORES!B:B,0)),"")</f>
        <v/>
      </c>
      <c r="Q420" s="71" t="str">
        <f>IFERROR(INDEX(RECICLADORES!O:O,MATCH(D420,RECICLADORES!B:B,0)),"")</f>
        <v/>
      </c>
      <c r="R420" s="65"/>
      <c r="S420" s="65"/>
      <c r="T420" s="71"/>
      <c r="U420" s="71"/>
      <c r="V420" s="86"/>
    </row>
    <row r="421" spans="1:22" ht="16.5" thickTop="1" thickBot="1" x14ac:dyDescent="0.3">
      <c r="A421" s="34"/>
      <c r="B421" s="4"/>
      <c r="C421" s="4"/>
      <c r="D421" s="4"/>
      <c r="E421" s="4"/>
      <c r="F421" s="4"/>
      <c r="G421" s="5"/>
      <c r="H421" s="14"/>
      <c r="I421" s="14"/>
      <c r="J421" s="29" t="str">
        <f t="shared" si="4"/>
        <v/>
      </c>
      <c r="L421" s="71"/>
      <c r="M421" s="71"/>
      <c r="N421" s="71"/>
      <c r="O421" s="71"/>
      <c r="P421" s="71" t="str">
        <f>IFERROR(INDEX(RECICLADORES!C:C,MATCH(D421,RECICLADORES!B:B,0)),"")</f>
        <v/>
      </c>
      <c r="Q421" s="71" t="str">
        <f>IFERROR(INDEX(RECICLADORES!O:O,MATCH(D421,RECICLADORES!B:B,0)),"")</f>
        <v/>
      </c>
      <c r="R421" s="65"/>
      <c r="S421" s="65"/>
      <c r="T421" s="71"/>
      <c r="U421" s="71"/>
      <c r="V421" s="86"/>
    </row>
    <row r="422" spans="1:22" ht="16.5" thickTop="1" thickBot="1" x14ac:dyDescent="0.3">
      <c r="A422" s="35"/>
      <c r="B422" s="4"/>
      <c r="C422" s="4"/>
      <c r="D422" s="4"/>
      <c r="E422" s="4"/>
      <c r="F422" s="4"/>
      <c r="G422" s="5"/>
      <c r="H422" s="14"/>
      <c r="I422" s="14"/>
      <c r="J422" s="29" t="str">
        <f t="shared" si="4"/>
        <v/>
      </c>
      <c r="L422" s="71"/>
      <c r="M422" s="71"/>
      <c r="N422" s="71"/>
      <c r="O422" s="71"/>
      <c r="P422" s="71" t="str">
        <f>IFERROR(INDEX(RECICLADORES!C:C,MATCH(D422,RECICLADORES!B:B,0)),"")</f>
        <v/>
      </c>
      <c r="Q422" s="71" t="str">
        <f>IFERROR(INDEX(RECICLADORES!O:O,MATCH(D422,RECICLADORES!B:B,0)),"")</f>
        <v/>
      </c>
      <c r="R422" s="65"/>
      <c r="S422" s="65"/>
      <c r="T422" s="71"/>
      <c r="U422" s="71"/>
      <c r="V422" s="86"/>
    </row>
    <row r="423" spans="1:22" ht="16.5" thickTop="1" thickBot="1" x14ac:dyDescent="0.3">
      <c r="A423" s="34"/>
      <c r="B423" s="4"/>
      <c r="C423" s="4"/>
      <c r="D423" s="4"/>
      <c r="E423" s="4"/>
      <c r="F423" s="4"/>
      <c r="G423" s="5"/>
      <c r="H423" s="14"/>
      <c r="I423" s="14"/>
      <c r="J423" s="29" t="str">
        <f t="shared" si="4"/>
        <v/>
      </c>
      <c r="L423" s="71"/>
      <c r="M423" s="71"/>
      <c r="N423" s="71"/>
      <c r="O423" s="71"/>
      <c r="P423" s="71" t="str">
        <f>IFERROR(INDEX(RECICLADORES!C:C,MATCH(D423,RECICLADORES!B:B,0)),"")</f>
        <v/>
      </c>
      <c r="Q423" s="71" t="str">
        <f>IFERROR(INDEX(RECICLADORES!O:O,MATCH(D423,RECICLADORES!B:B,0)),"")</f>
        <v/>
      </c>
      <c r="R423" s="65"/>
      <c r="S423" s="65"/>
      <c r="T423" s="71"/>
      <c r="U423" s="71"/>
      <c r="V423" s="86"/>
    </row>
    <row r="424" spans="1:22" ht="16.5" thickTop="1" thickBot="1" x14ac:dyDescent="0.3">
      <c r="A424" s="35"/>
      <c r="B424" s="4"/>
      <c r="C424" s="4"/>
      <c r="D424" s="4"/>
      <c r="E424" s="4"/>
      <c r="F424" s="4"/>
      <c r="G424" s="5"/>
      <c r="H424" s="14"/>
      <c r="I424" s="14"/>
      <c r="J424" s="29" t="str">
        <f t="shared" si="4"/>
        <v/>
      </c>
      <c r="L424" s="71"/>
      <c r="M424" s="71"/>
      <c r="N424" s="71"/>
      <c r="O424" s="71"/>
      <c r="P424" s="71" t="str">
        <f>IFERROR(INDEX(RECICLADORES!C:C,MATCH(D424,RECICLADORES!B:B,0)),"")</f>
        <v/>
      </c>
      <c r="Q424" s="71" t="str">
        <f>IFERROR(INDEX(RECICLADORES!O:O,MATCH(D424,RECICLADORES!B:B,0)),"")</f>
        <v/>
      </c>
      <c r="R424" s="65"/>
      <c r="S424" s="65"/>
      <c r="T424" s="71"/>
      <c r="U424" s="71"/>
      <c r="V424" s="86"/>
    </row>
    <row r="425" spans="1:22" ht="16.5" thickTop="1" thickBot="1" x14ac:dyDescent="0.3">
      <c r="A425" s="35"/>
      <c r="B425" s="4"/>
      <c r="C425" s="4"/>
      <c r="D425" s="4"/>
      <c r="E425" s="4"/>
      <c r="F425" s="4"/>
      <c r="G425" s="5"/>
      <c r="H425" s="14"/>
      <c r="I425" s="14"/>
      <c r="J425" s="29" t="str">
        <f t="shared" si="4"/>
        <v/>
      </c>
      <c r="L425" s="71"/>
      <c r="M425" s="71"/>
      <c r="N425" s="71"/>
      <c r="O425" s="71"/>
      <c r="P425" s="71" t="str">
        <f>IFERROR(INDEX(RECICLADORES!C:C,MATCH(D425,RECICLADORES!B:B,0)),"")</f>
        <v/>
      </c>
      <c r="Q425" s="71" t="str">
        <f>IFERROR(INDEX(RECICLADORES!O:O,MATCH(D425,RECICLADORES!B:B,0)),"")</f>
        <v/>
      </c>
      <c r="R425" s="65"/>
      <c r="S425" s="65"/>
      <c r="T425" s="71"/>
      <c r="U425" s="71"/>
      <c r="V425" s="86"/>
    </row>
    <row r="426" spans="1:22" ht="16.5" thickTop="1" thickBot="1" x14ac:dyDescent="0.3">
      <c r="A426" s="34"/>
      <c r="B426" s="4"/>
      <c r="C426" s="4"/>
      <c r="D426" s="4"/>
      <c r="E426" s="4"/>
      <c r="F426" s="4"/>
      <c r="G426" s="5"/>
      <c r="H426" s="14"/>
      <c r="I426" s="14"/>
      <c r="J426" s="29" t="str">
        <f t="shared" si="4"/>
        <v/>
      </c>
      <c r="L426" s="71"/>
      <c r="M426" s="71"/>
      <c r="N426" s="71"/>
      <c r="O426" s="71"/>
      <c r="P426" s="71" t="str">
        <f>IFERROR(INDEX(RECICLADORES!C:C,MATCH(D426,RECICLADORES!B:B,0)),"")</f>
        <v/>
      </c>
      <c r="Q426" s="71" t="str">
        <f>IFERROR(INDEX(RECICLADORES!O:O,MATCH(D426,RECICLADORES!B:B,0)),"")</f>
        <v/>
      </c>
      <c r="R426" s="65"/>
      <c r="S426" s="65"/>
      <c r="T426" s="71"/>
      <c r="U426" s="71"/>
      <c r="V426" s="86"/>
    </row>
    <row r="427" spans="1:22" ht="16.5" thickTop="1" thickBot="1" x14ac:dyDescent="0.3">
      <c r="A427" s="35"/>
      <c r="B427" s="4"/>
      <c r="C427" s="4"/>
      <c r="D427" s="4"/>
      <c r="E427" s="4"/>
      <c r="F427" s="4"/>
      <c r="G427" s="5"/>
      <c r="H427" s="14"/>
      <c r="I427" s="14"/>
      <c r="J427" s="29" t="str">
        <f t="shared" ref="J427:J490" si="5">IF(C427="","",INT((DAY(C427)-1)/7)+1)</f>
        <v/>
      </c>
      <c r="L427" s="71"/>
      <c r="M427" s="71"/>
      <c r="N427" s="71"/>
      <c r="O427" s="71"/>
      <c r="P427" s="71" t="str">
        <f>IFERROR(INDEX(RECICLADORES!C:C,MATCH(D427,RECICLADORES!B:B,0)),"")</f>
        <v/>
      </c>
      <c r="Q427" s="71" t="str">
        <f>IFERROR(INDEX(RECICLADORES!O:O,MATCH(D427,RECICLADORES!B:B,0)),"")</f>
        <v/>
      </c>
      <c r="R427" s="65"/>
      <c r="S427" s="65"/>
      <c r="T427" s="71"/>
      <c r="U427" s="71"/>
      <c r="V427" s="86"/>
    </row>
    <row r="428" spans="1:22" ht="16.5" thickTop="1" thickBot="1" x14ac:dyDescent="0.3">
      <c r="A428" s="34"/>
      <c r="B428" s="4"/>
      <c r="C428" s="4"/>
      <c r="D428" s="4"/>
      <c r="E428" s="4"/>
      <c r="F428" s="4"/>
      <c r="G428" s="5"/>
      <c r="H428" s="14"/>
      <c r="I428" s="14"/>
      <c r="J428" s="29" t="str">
        <f t="shared" si="5"/>
        <v/>
      </c>
      <c r="L428" s="71"/>
      <c r="M428" s="71"/>
      <c r="N428" s="71"/>
      <c r="O428" s="71"/>
      <c r="P428" s="71" t="str">
        <f>IFERROR(INDEX(RECICLADORES!C:C,MATCH(D428,RECICLADORES!B:B,0)),"")</f>
        <v/>
      </c>
      <c r="Q428" s="71" t="str">
        <f>IFERROR(INDEX(RECICLADORES!O:O,MATCH(D428,RECICLADORES!B:B,0)),"")</f>
        <v/>
      </c>
      <c r="R428" s="65"/>
      <c r="S428" s="65"/>
      <c r="T428" s="71"/>
      <c r="U428" s="71"/>
      <c r="V428" s="86"/>
    </row>
    <row r="429" spans="1:22" ht="16.5" thickTop="1" thickBot="1" x14ac:dyDescent="0.3">
      <c r="A429" s="35"/>
      <c r="B429" s="4"/>
      <c r="C429" s="4"/>
      <c r="D429" s="4"/>
      <c r="E429" s="4"/>
      <c r="F429" s="4"/>
      <c r="G429" s="5"/>
      <c r="H429" s="14"/>
      <c r="I429" s="14"/>
      <c r="J429" s="29" t="str">
        <f t="shared" si="5"/>
        <v/>
      </c>
      <c r="L429" s="71"/>
      <c r="M429" s="71"/>
      <c r="N429" s="71"/>
      <c r="O429" s="71"/>
      <c r="P429" s="71" t="str">
        <f>IFERROR(INDEX(RECICLADORES!C:C,MATCH(D429,RECICLADORES!B:B,0)),"")</f>
        <v/>
      </c>
      <c r="Q429" s="71" t="str">
        <f>IFERROR(INDEX(RECICLADORES!O:O,MATCH(D429,RECICLADORES!B:B,0)),"")</f>
        <v/>
      </c>
      <c r="R429" s="65"/>
      <c r="S429" s="65"/>
      <c r="T429" s="71"/>
      <c r="U429" s="71"/>
      <c r="V429" s="86"/>
    </row>
    <row r="430" spans="1:22" ht="16.5" thickTop="1" thickBot="1" x14ac:dyDescent="0.3">
      <c r="A430" s="34"/>
      <c r="B430" s="4"/>
      <c r="C430" s="4"/>
      <c r="D430" s="4"/>
      <c r="E430" s="4"/>
      <c r="F430" s="4"/>
      <c r="G430" s="5"/>
      <c r="H430" s="14"/>
      <c r="I430" s="14"/>
      <c r="J430" s="29" t="str">
        <f t="shared" si="5"/>
        <v/>
      </c>
      <c r="L430" s="71"/>
      <c r="M430" s="71"/>
      <c r="N430" s="71"/>
      <c r="O430" s="71"/>
      <c r="P430" s="71" t="str">
        <f>IFERROR(INDEX(RECICLADORES!C:C,MATCH(D430,RECICLADORES!B:B,0)),"")</f>
        <v/>
      </c>
      <c r="Q430" s="71" t="str">
        <f>IFERROR(INDEX(RECICLADORES!O:O,MATCH(D430,RECICLADORES!B:B,0)),"")</f>
        <v/>
      </c>
      <c r="R430" s="65"/>
      <c r="S430" s="65"/>
      <c r="T430" s="71"/>
      <c r="U430" s="71"/>
      <c r="V430" s="86"/>
    </row>
    <row r="431" spans="1:22" ht="16.5" thickTop="1" thickBot="1" x14ac:dyDescent="0.3">
      <c r="A431" s="35"/>
      <c r="B431" s="4"/>
      <c r="C431" s="4"/>
      <c r="D431" s="4"/>
      <c r="E431" s="4"/>
      <c r="F431" s="4"/>
      <c r="G431" s="5"/>
      <c r="H431" s="14"/>
      <c r="I431" s="14"/>
      <c r="J431" s="29" t="str">
        <f t="shared" si="5"/>
        <v/>
      </c>
      <c r="L431" s="71"/>
      <c r="M431" s="71"/>
      <c r="N431" s="71"/>
      <c r="O431" s="71"/>
      <c r="P431" s="71" t="str">
        <f>IFERROR(INDEX(RECICLADORES!C:C,MATCH(D431,RECICLADORES!B:B,0)),"")</f>
        <v/>
      </c>
      <c r="Q431" s="71" t="str">
        <f>IFERROR(INDEX(RECICLADORES!O:O,MATCH(D431,RECICLADORES!B:B,0)),"")</f>
        <v/>
      </c>
      <c r="R431" s="65"/>
      <c r="S431" s="65"/>
      <c r="T431" s="71"/>
      <c r="U431" s="71"/>
      <c r="V431" s="86"/>
    </row>
    <row r="432" spans="1:22" ht="16.5" thickTop="1" thickBot="1" x14ac:dyDescent="0.3">
      <c r="A432" s="34"/>
      <c r="B432" s="4"/>
      <c r="C432" s="4"/>
      <c r="D432" s="4"/>
      <c r="E432" s="4"/>
      <c r="F432" s="4"/>
      <c r="G432" s="5"/>
      <c r="H432" s="14"/>
      <c r="I432" s="14"/>
      <c r="J432" s="29" t="str">
        <f t="shared" si="5"/>
        <v/>
      </c>
      <c r="L432" s="71"/>
      <c r="M432" s="71"/>
      <c r="N432" s="71"/>
      <c r="O432" s="71"/>
      <c r="P432" s="71" t="str">
        <f>IFERROR(INDEX(RECICLADORES!C:C,MATCH(D432,RECICLADORES!B:B,0)),"")</f>
        <v/>
      </c>
      <c r="Q432" s="71" t="str">
        <f>IFERROR(INDEX(RECICLADORES!O:O,MATCH(D432,RECICLADORES!B:B,0)),"")</f>
        <v/>
      </c>
      <c r="R432" s="65"/>
      <c r="S432" s="65"/>
      <c r="T432" s="71"/>
      <c r="U432" s="71"/>
      <c r="V432" s="86"/>
    </row>
    <row r="433" spans="1:22" ht="16.5" thickTop="1" thickBot="1" x14ac:dyDescent="0.3">
      <c r="A433" s="35"/>
      <c r="B433" s="4"/>
      <c r="C433" s="4"/>
      <c r="D433" s="4"/>
      <c r="E433" s="4"/>
      <c r="F433" s="4"/>
      <c r="G433" s="5"/>
      <c r="H433" s="14"/>
      <c r="I433" s="14"/>
      <c r="J433" s="29" t="str">
        <f t="shared" si="5"/>
        <v/>
      </c>
      <c r="L433" s="71"/>
      <c r="M433" s="71"/>
      <c r="N433" s="71"/>
      <c r="O433" s="71"/>
      <c r="P433" s="71" t="str">
        <f>IFERROR(INDEX(RECICLADORES!C:C,MATCH(D433,RECICLADORES!B:B,0)),"")</f>
        <v/>
      </c>
      <c r="Q433" s="71" t="str">
        <f>IFERROR(INDEX(RECICLADORES!O:O,MATCH(D433,RECICLADORES!B:B,0)),"")</f>
        <v/>
      </c>
      <c r="R433" s="65"/>
      <c r="S433" s="65"/>
      <c r="T433" s="71"/>
      <c r="U433" s="71"/>
      <c r="V433" s="86"/>
    </row>
    <row r="434" spans="1:22" ht="16.5" thickTop="1" thickBot="1" x14ac:dyDescent="0.3">
      <c r="A434" s="34"/>
      <c r="C434" s="13"/>
      <c r="I434" s="23"/>
      <c r="J434" s="29" t="str">
        <f t="shared" si="5"/>
        <v/>
      </c>
      <c r="L434" s="71"/>
      <c r="M434" s="71"/>
      <c r="N434" s="71"/>
      <c r="O434" s="71"/>
      <c r="P434" s="71" t="str">
        <f>IFERROR(INDEX(RECICLADORES!C:C,MATCH(D434,RECICLADORES!B:B,0)),"")</f>
        <v/>
      </c>
      <c r="Q434" s="71" t="str">
        <f>IFERROR(INDEX(RECICLADORES!O:O,MATCH(D434,RECICLADORES!B:B,0)),"")</f>
        <v/>
      </c>
      <c r="R434" s="65"/>
      <c r="S434" s="65"/>
      <c r="T434" s="71"/>
      <c r="U434" s="71"/>
      <c r="V434" s="86"/>
    </row>
    <row r="435" spans="1:22" ht="16.5" thickTop="1" thickBot="1" x14ac:dyDescent="0.3">
      <c r="A435" s="35"/>
      <c r="C435" s="13"/>
      <c r="I435" s="23"/>
      <c r="J435" s="29" t="str">
        <f t="shared" si="5"/>
        <v/>
      </c>
      <c r="L435" s="71"/>
      <c r="M435" s="71"/>
      <c r="N435" s="71"/>
      <c r="O435" s="71"/>
      <c r="P435" s="71" t="str">
        <f>IFERROR(INDEX(RECICLADORES!C:C,MATCH(D435,RECICLADORES!B:B,0)),"")</f>
        <v/>
      </c>
      <c r="Q435" s="71" t="str">
        <f>IFERROR(INDEX(RECICLADORES!O:O,MATCH(D435,RECICLADORES!B:B,0)),"")</f>
        <v/>
      </c>
      <c r="R435" s="65"/>
      <c r="S435" s="65"/>
      <c r="T435" s="71"/>
      <c r="U435" s="71"/>
      <c r="V435" s="86"/>
    </row>
    <row r="436" spans="1:22" ht="16.5" thickTop="1" thickBot="1" x14ac:dyDescent="0.3">
      <c r="A436" s="34"/>
      <c r="C436" s="13"/>
      <c r="I436" s="23"/>
      <c r="J436" s="29" t="str">
        <f t="shared" si="5"/>
        <v/>
      </c>
      <c r="L436" s="71"/>
      <c r="M436" s="71"/>
      <c r="N436" s="71"/>
      <c r="O436" s="71"/>
      <c r="P436" s="71" t="str">
        <f>IFERROR(INDEX(RECICLADORES!C:C,MATCH(D436,RECICLADORES!B:B,0)),"")</f>
        <v/>
      </c>
      <c r="Q436" s="71" t="str">
        <f>IFERROR(INDEX(RECICLADORES!O:O,MATCH(D436,RECICLADORES!B:B,0)),"")</f>
        <v/>
      </c>
      <c r="R436" s="65"/>
      <c r="S436" s="65"/>
      <c r="T436" s="71"/>
      <c r="U436" s="71"/>
      <c r="V436" s="86"/>
    </row>
    <row r="437" spans="1:22" ht="16.5" thickTop="1" thickBot="1" x14ac:dyDescent="0.3">
      <c r="A437" s="35"/>
      <c r="C437" s="13"/>
      <c r="I437" s="23"/>
      <c r="J437" s="29" t="str">
        <f t="shared" si="5"/>
        <v/>
      </c>
      <c r="L437" s="71"/>
      <c r="M437" s="71"/>
      <c r="N437" s="71"/>
      <c r="O437" s="71"/>
      <c r="P437" s="71" t="str">
        <f>IFERROR(INDEX(RECICLADORES!C:C,MATCH(D437,RECICLADORES!B:B,0)),"")</f>
        <v/>
      </c>
      <c r="Q437" s="71" t="str">
        <f>IFERROR(INDEX(RECICLADORES!O:O,MATCH(D437,RECICLADORES!B:B,0)),"")</f>
        <v/>
      </c>
      <c r="R437" s="65"/>
      <c r="S437" s="65"/>
      <c r="T437" s="71"/>
      <c r="U437" s="71"/>
      <c r="V437" s="86"/>
    </row>
    <row r="438" spans="1:22" ht="16.5" thickTop="1" thickBot="1" x14ac:dyDescent="0.3">
      <c r="A438" s="34"/>
      <c r="C438" s="13"/>
      <c r="I438" s="23"/>
      <c r="J438" s="29" t="str">
        <f t="shared" si="5"/>
        <v/>
      </c>
      <c r="L438" s="71"/>
      <c r="M438" s="71"/>
      <c r="N438" s="71"/>
      <c r="O438" s="71"/>
      <c r="P438" s="71" t="str">
        <f>IFERROR(INDEX(RECICLADORES!C:C,MATCH(D438,RECICLADORES!B:B,0)),"")</f>
        <v/>
      </c>
      <c r="Q438" s="71" t="str">
        <f>IFERROR(INDEX(RECICLADORES!O:O,MATCH(D438,RECICLADORES!B:B,0)),"")</f>
        <v/>
      </c>
      <c r="R438" s="65"/>
      <c r="S438" s="65"/>
      <c r="T438" s="71"/>
      <c r="U438" s="71"/>
      <c r="V438" s="86"/>
    </row>
    <row r="439" spans="1:22" ht="16.5" thickTop="1" thickBot="1" x14ac:dyDescent="0.3">
      <c r="A439" s="35"/>
      <c r="C439" s="13"/>
      <c r="I439" s="23"/>
      <c r="J439" s="29" t="str">
        <f t="shared" si="5"/>
        <v/>
      </c>
      <c r="L439" s="71"/>
      <c r="M439" s="71"/>
      <c r="N439" s="71"/>
      <c r="O439" s="71"/>
      <c r="P439" s="71" t="str">
        <f>IFERROR(INDEX(RECICLADORES!C:C,MATCH(D439,RECICLADORES!B:B,0)),"")</f>
        <v/>
      </c>
      <c r="Q439" s="71" t="str">
        <f>IFERROR(INDEX(RECICLADORES!O:O,MATCH(D439,RECICLADORES!B:B,0)),"")</f>
        <v/>
      </c>
      <c r="R439" s="65"/>
      <c r="S439" s="65"/>
      <c r="T439" s="71"/>
      <c r="U439" s="71"/>
      <c r="V439" s="86"/>
    </row>
    <row r="440" spans="1:22" ht="16.5" thickTop="1" thickBot="1" x14ac:dyDescent="0.3">
      <c r="A440" s="34"/>
      <c r="C440" s="13"/>
      <c r="I440" s="23"/>
      <c r="J440" s="29" t="str">
        <f t="shared" si="5"/>
        <v/>
      </c>
      <c r="L440" s="71"/>
      <c r="M440" s="71"/>
      <c r="N440" s="71"/>
      <c r="O440" s="71"/>
      <c r="P440" s="71" t="str">
        <f>IFERROR(INDEX(RECICLADORES!C:C,MATCH(D440,RECICLADORES!B:B,0)),"")</f>
        <v/>
      </c>
      <c r="Q440" s="71" t="str">
        <f>IFERROR(INDEX(RECICLADORES!O:O,MATCH(D440,RECICLADORES!B:B,0)),"")</f>
        <v/>
      </c>
      <c r="R440" s="65"/>
      <c r="S440" s="65"/>
      <c r="T440" s="71"/>
      <c r="U440" s="71"/>
      <c r="V440" s="86"/>
    </row>
    <row r="441" spans="1:22" ht="16.5" thickTop="1" thickBot="1" x14ac:dyDescent="0.3">
      <c r="A441" s="35"/>
      <c r="C441" s="13"/>
      <c r="I441" s="23"/>
      <c r="J441" s="29" t="str">
        <f t="shared" si="5"/>
        <v/>
      </c>
      <c r="L441" s="71"/>
      <c r="M441" s="71"/>
      <c r="N441" s="71"/>
      <c r="O441" s="71"/>
      <c r="P441" s="71" t="str">
        <f>IFERROR(INDEX(RECICLADORES!C:C,MATCH(D441,RECICLADORES!B:B,0)),"")</f>
        <v/>
      </c>
      <c r="Q441" s="71" t="str">
        <f>IFERROR(INDEX(RECICLADORES!O:O,MATCH(D441,RECICLADORES!B:B,0)),"")</f>
        <v/>
      </c>
      <c r="R441" s="65"/>
      <c r="S441" s="65"/>
      <c r="T441" s="71"/>
      <c r="U441" s="71"/>
      <c r="V441" s="86"/>
    </row>
    <row r="442" spans="1:22" ht="16.5" thickTop="1" thickBot="1" x14ac:dyDescent="0.3">
      <c r="A442" s="34"/>
      <c r="C442" s="13"/>
      <c r="I442" s="23"/>
      <c r="J442" s="29" t="str">
        <f t="shared" si="5"/>
        <v/>
      </c>
      <c r="L442" s="71"/>
      <c r="M442" s="71"/>
      <c r="N442" s="71"/>
      <c r="O442" s="71"/>
      <c r="P442" s="71" t="str">
        <f>IFERROR(INDEX(RECICLADORES!C:C,MATCH(D442,RECICLADORES!B:B,0)),"")</f>
        <v/>
      </c>
      <c r="Q442" s="71" t="str">
        <f>IFERROR(INDEX(RECICLADORES!O:O,MATCH(D442,RECICLADORES!B:B,0)),"")</f>
        <v/>
      </c>
      <c r="R442" s="65"/>
      <c r="S442" s="65"/>
      <c r="T442" s="71"/>
      <c r="U442" s="71"/>
      <c r="V442" s="86"/>
    </row>
    <row r="443" spans="1:22" ht="16.5" thickTop="1" thickBot="1" x14ac:dyDescent="0.3">
      <c r="A443" s="35"/>
      <c r="C443" s="13"/>
      <c r="I443" s="23"/>
      <c r="J443" s="29" t="str">
        <f t="shared" si="5"/>
        <v/>
      </c>
      <c r="L443" s="71"/>
      <c r="M443" s="71"/>
      <c r="N443" s="71"/>
      <c r="O443" s="71"/>
      <c r="P443" s="71" t="str">
        <f>IFERROR(INDEX(RECICLADORES!C:C,MATCH(D443,RECICLADORES!B:B,0)),"")</f>
        <v/>
      </c>
      <c r="Q443" s="71" t="str">
        <f>IFERROR(INDEX(RECICLADORES!O:O,MATCH(D443,RECICLADORES!B:B,0)),"")</f>
        <v/>
      </c>
      <c r="R443" s="65"/>
      <c r="S443" s="65"/>
      <c r="T443" s="71"/>
      <c r="U443" s="71"/>
      <c r="V443" s="86"/>
    </row>
    <row r="444" spans="1:22" ht="16.5" thickTop="1" thickBot="1" x14ac:dyDescent="0.3">
      <c r="A444" s="34"/>
      <c r="C444" s="13"/>
      <c r="I444" s="23"/>
      <c r="J444" s="29" t="str">
        <f t="shared" si="5"/>
        <v/>
      </c>
      <c r="L444" s="71"/>
      <c r="M444" s="71"/>
      <c r="N444" s="71"/>
      <c r="O444" s="71"/>
      <c r="P444" s="71" t="str">
        <f>IFERROR(INDEX(RECICLADORES!C:C,MATCH(D444,RECICLADORES!B:B,0)),"")</f>
        <v/>
      </c>
      <c r="Q444" s="71" t="str">
        <f>IFERROR(INDEX(RECICLADORES!O:O,MATCH(D444,RECICLADORES!B:B,0)),"")</f>
        <v/>
      </c>
      <c r="R444" s="65"/>
      <c r="S444" s="65"/>
      <c r="T444" s="71"/>
      <c r="U444" s="71"/>
      <c r="V444" s="86"/>
    </row>
    <row r="445" spans="1:22" ht="16.5" thickTop="1" thickBot="1" x14ac:dyDescent="0.3">
      <c r="A445" s="35"/>
      <c r="C445" s="13"/>
      <c r="I445" s="23"/>
      <c r="J445" s="29" t="str">
        <f t="shared" si="5"/>
        <v/>
      </c>
      <c r="L445" s="71"/>
      <c r="M445" s="71"/>
      <c r="N445" s="71"/>
      <c r="O445" s="71"/>
      <c r="P445" s="71" t="str">
        <f>IFERROR(INDEX(RECICLADORES!C:C,MATCH(D445,RECICLADORES!B:B,0)),"")</f>
        <v/>
      </c>
      <c r="Q445" s="71" t="str">
        <f>IFERROR(INDEX(RECICLADORES!O:O,MATCH(D445,RECICLADORES!B:B,0)),"")</f>
        <v/>
      </c>
      <c r="R445" s="65"/>
      <c r="S445" s="65"/>
      <c r="T445" s="71"/>
      <c r="U445" s="71"/>
      <c r="V445" s="86"/>
    </row>
    <row r="446" spans="1:22" ht="16.5" thickTop="1" thickBot="1" x14ac:dyDescent="0.3">
      <c r="A446" s="34"/>
      <c r="C446" s="13"/>
      <c r="I446" s="23"/>
      <c r="J446" s="29" t="str">
        <f t="shared" si="5"/>
        <v/>
      </c>
      <c r="L446" s="71"/>
      <c r="M446" s="71"/>
      <c r="N446" s="71"/>
      <c r="O446" s="71"/>
      <c r="P446" s="71" t="str">
        <f>IFERROR(INDEX(RECICLADORES!C:C,MATCH(D446,RECICLADORES!B:B,0)),"")</f>
        <v/>
      </c>
      <c r="Q446" s="71" t="str">
        <f>IFERROR(INDEX(RECICLADORES!O:O,MATCH(D446,RECICLADORES!B:B,0)),"")</f>
        <v/>
      </c>
      <c r="R446" s="65"/>
      <c r="S446" s="65"/>
      <c r="T446" s="71"/>
      <c r="U446" s="71"/>
      <c r="V446" s="86"/>
    </row>
    <row r="447" spans="1:22" ht="16.5" thickTop="1" thickBot="1" x14ac:dyDescent="0.3">
      <c r="A447" s="35"/>
      <c r="C447" s="13"/>
      <c r="I447" s="23"/>
      <c r="J447" s="29" t="str">
        <f t="shared" si="5"/>
        <v/>
      </c>
      <c r="L447" s="71"/>
      <c r="M447" s="71"/>
      <c r="N447" s="71"/>
      <c r="O447" s="71"/>
      <c r="P447" s="71" t="str">
        <f>IFERROR(INDEX(RECICLADORES!C:C,MATCH(D447,RECICLADORES!B:B,0)),"")</f>
        <v/>
      </c>
      <c r="Q447" s="71" t="str">
        <f>IFERROR(INDEX(RECICLADORES!O:O,MATCH(D447,RECICLADORES!B:B,0)),"")</f>
        <v/>
      </c>
      <c r="R447" s="65"/>
      <c r="S447" s="65"/>
      <c r="T447" s="71"/>
      <c r="U447" s="71"/>
      <c r="V447" s="86"/>
    </row>
    <row r="448" spans="1:22" ht="16.5" thickTop="1" thickBot="1" x14ac:dyDescent="0.3">
      <c r="A448" s="34"/>
      <c r="C448" s="13"/>
      <c r="I448" s="23"/>
      <c r="J448" s="29" t="str">
        <f t="shared" si="5"/>
        <v/>
      </c>
      <c r="L448" s="71"/>
      <c r="M448" s="71"/>
      <c r="N448" s="71"/>
      <c r="O448" s="71"/>
      <c r="P448" s="71" t="str">
        <f>IFERROR(INDEX(RECICLADORES!C:C,MATCH(D448,RECICLADORES!B:B,0)),"")</f>
        <v/>
      </c>
      <c r="Q448" s="71" t="str">
        <f>IFERROR(INDEX(RECICLADORES!O:O,MATCH(D448,RECICLADORES!B:B,0)),"")</f>
        <v/>
      </c>
      <c r="R448" s="65"/>
      <c r="S448" s="65"/>
      <c r="T448" s="71"/>
      <c r="U448" s="71"/>
      <c r="V448" s="86"/>
    </row>
    <row r="449" spans="1:22" ht="16.5" thickTop="1" thickBot="1" x14ac:dyDescent="0.3">
      <c r="A449" s="35"/>
      <c r="C449" s="13"/>
      <c r="I449" s="23"/>
      <c r="J449" s="29" t="str">
        <f t="shared" si="5"/>
        <v/>
      </c>
      <c r="L449" s="71"/>
      <c r="M449" s="71"/>
      <c r="N449" s="71"/>
      <c r="O449" s="71"/>
      <c r="P449" s="71" t="str">
        <f>IFERROR(INDEX(RECICLADORES!C:C,MATCH(D449,RECICLADORES!B:B,0)),"")</f>
        <v/>
      </c>
      <c r="Q449" s="71" t="str">
        <f>IFERROR(INDEX(RECICLADORES!O:O,MATCH(D449,RECICLADORES!B:B,0)),"")</f>
        <v/>
      </c>
      <c r="R449" s="65"/>
      <c r="S449" s="65"/>
      <c r="T449" s="71"/>
      <c r="U449" s="71"/>
      <c r="V449" s="86"/>
    </row>
    <row r="450" spans="1:22" ht="16.5" thickTop="1" thickBot="1" x14ac:dyDescent="0.3">
      <c r="A450" s="34"/>
      <c r="C450" s="13"/>
      <c r="I450" s="23"/>
      <c r="J450" s="29" t="str">
        <f t="shared" si="5"/>
        <v/>
      </c>
      <c r="L450" s="71"/>
      <c r="M450" s="71"/>
      <c r="N450" s="71"/>
      <c r="O450" s="71"/>
      <c r="P450" s="71" t="str">
        <f>IFERROR(INDEX(RECICLADORES!C:C,MATCH(D450,RECICLADORES!B:B,0)),"")</f>
        <v/>
      </c>
      <c r="Q450" s="71" t="str">
        <f>IFERROR(INDEX(RECICLADORES!O:O,MATCH(D450,RECICLADORES!B:B,0)),"")</f>
        <v/>
      </c>
      <c r="R450" s="65"/>
      <c r="S450" s="65"/>
      <c r="T450" s="71"/>
      <c r="U450" s="71"/>
      <c r="V450" s="86"/>
    </row>
    <row r="451" spans="1:22" ht="16.5" thickTop="1" thickBot="1" x14ac:dyDescent="0.3">
      <c r="A451" s="35"/>
      <c r="C451" s="13"/>
      <c r="I451" s="23"/>
      <c r="J451" s="29" t="str">
        <f t="shared" si="5"/>
        <v/>
      </c>
      <c r="L451" s="71"/>
      <c r="M451" s="71"/>
      <c r="N451" s="71"/>
      <c r="O451" s="71"/>
      <c r="P451" s="71" t="str">
        <f>IFERROR(INDEX(RECICLADORES!C:C,MATCH(D451,RECICLADORES!B:B,0)),"")</f>
        <v/>
      </c>
      <c r="Q451" s="71" t="str">
        <f>IFERROR(INDEX(RECICLADORES!O:O,MATCH(D451,RECICLADORES!B:B,0)),"")</f>
        <v/>
      </c>
      <c r="R451" s="65"/>
      <c r="S451" s="65"/>
      <c r="T451" s="71"/>
      <c r="U451" s="71"/>
      <c r="V451" s="86"/>
    </row>
    <row r="452" spans="1:22" ht="16.5" thickTop="1" thickBot="1" x14ac:dyDescent="0.3">
      <c r="A452" s="34"/>
      <c r="C452" s="13"/>
      <c r="I452" s="23"/>
      <c r="J452" s="29" t="str">
        <f t="shared" si="5"/>
        <v/>
      </c>
      <c r="L452" s="71"/>
      <c r="M452" s="71"/>
      <c r="N452" s="71"/>
      <c r="O452" s="71"/>
      <c r="P452" s="71" t="str">
        <f>IFERROR(INDEX(RECICLADORES!C:C,MATCH(D452,RECICLADORES!B:B,0)),"")</f>
        <v/>
      </c>
      <c r="Q452" s="71" t="str">
        <f>IFERROR(INDEX(RECICLADORES!O:O,MATCH(D452,RECICLADORES!B:B,0)),"")</f>
        <v/>
      </c>
      <c r="R452" s="65"/>
      <c r="S452" s="65"/>
      <c r="T452" s="71"/>
      <c r="U452" s="71"/>
      <c r="V452" s="86"/>
    </row>
    <row r="453" spans="1:22" ht="16.5" thickTop="1" thickBot="1" x14ac:dyDescent="0.3">
      <c r="A453" s="35"/>
      <c r="C453" s="13"/>
      <c r="I453" s="23"/>
      <c r="J453" s="29" t="str">
        <f t="shared" si="5"/>
        <v/>
      </c>
      <c r="L453" s="71"/>
      <c r="M453" s="71"/>
      <c r="N453" s="71"/>
      <c r="O453" s="71"/>
      <c r="P453" s="71" t="str">
        <f>IFERROR(INDEX(RECICLADORES!C:C,MATCH(D453,RECICLADORES!B:B,0)),"")</f>
        <v/>
      </c>
      <c r="Q453" s="71" t="str">
        <f>IFERROR(INDEX(RECICLADORES!O:O,MATCH(D453,RECICLADORES!B:B,0)),"")</f>
        <v/>
      </c>
      <c r="R453" s="65"/>
      <c r="S453" s="65"/>
      <c r="T453" s="71"/>
      <c r="U453" s="71"/>
      <c r="V453" s="86"/>
    </row>
    <row r="454" spans="1:22" ht="16.5" thickTop="1" thickBot="1" x14ac:dyDescent="0.3">
      <c r="A454" s="35"/>
      <c r="C454" s="13"/>
      <c r="I454" s="23"/>
      <c r="J454" s="29" t="str">
        <f t="shared" si="5"/>
        <v/>
      </c>
      <c r="L454" s="71"/>
      <c r="M454" s="71"/>
      <c r="N454" s="71"/>
      <c r="O454" s="71"/>
      <c r="P454" s="71" t="str">
        <f>IFERROR(INDEX(RECICLADORES!C:C,MATCH(D454,RECICLADORES!B:B,0)),"")</f>
        <v/>
      </c>
      <c r="Q454" s="71" t="str">
        <f>IFERROR(INDEX(RECICLADORES!O:O,MATCH(D454,RECICLADORES!B:B,0)),"")</f>
        <v/>
      </c>
      <c r="R454" s="65"/>
      <c r="S454" s="65"/>
      <c r="T454" s="71"/>
      <c r="U454" s="71"/>
      <c r="V454" s="86"/>
    </row>
    <row r="455" spans="1:22" ht="16.5" thickTop="1" thickBot="1" x14ac:dyDescent="0.3">
      <c r="A455" s="34"/>
      <c r="C455" s="13"/>
      <c r="I455" s="23"/>
      <c r="J455" s="29" t="str">
        <f t="shared" si="5"/>
        <v/>
      </c>
      <c r="L455" s="71"/>
      <c r="M455" s="71"/>
      <c r="N455" s="71"/>
      <c r="O455" s="71"/>
      <c r="P455" s="71" t="str">
        <f>IFERROR(INDEX(RECICLADORES!C:C,MATCH(D455,RECICLADORES!B:B,0)),"")</f>
        <v/>
      </c>
      <c r="Q455" s="71" t="str">
        <f>IFERROR(INDEX(RECICLADORES!O:O,MATCH(D455,RECICLADORES!B:B,0)),"")</f>
        <v/>
      </c>
      <c r="R455" s="65"/>
      <c r="S455" s="65"/>
      <c r="T455" s="71"/>
      <c r="U455" s="71"/>
      <c r="V455" s="86"/>
    </row>
    <row r="456" spans="1:22" ht="16.5" thickTop="1" thickBot="1" x14ac:dyDescent="0.3">
      <c r="A456" s="35"/>
      <c r="C456" s="13"/>
      <c r="I456" s="23"/>
      <c r="J456" s="29" t="str">
        <f t="shared" si="5"/>
        <v/>
      </c>
      <c r="L456" s="71"/>
      <c r="M456" s="71"/>
      <c r="N456" s="71"/>
      <c r="O456" s="71"/>
      <c r="P456" s="71" t="str">
        <f>IFERROR(INDEX(RECICLADORES!C:C,MATCH(D456,RECICLADORES!B:B,0)),"")</f>
        <v/>
      </c>
      <c r="Q456" s="71" t="str">
        <f>IFERROR(INDEX(RECICLADORES!O:O,MATCH(D456,RECICLADORES!B:B,0)),"")</f>
        <v/>
      </c>
      <c r="R456" s="65"/>
      <c r="S456" s="65"/>
      <c r="T456" s="71"/>
      <c r="U456" s="71"/>
      <c r="V456" s="86"/>
    </row>
    <row r="457" spans="1:22" ht="16.5" thickTop="1" thickBot="1" x14ac:dyDescent="0.3">
      <c r="A457" s="34"/>
      <c r="C457" s="13"/>
      <c r="I457" s="23"/>
      <c r="J457" s="29" t="str">
        <f t="shared" si="5"/>
        <v/>
      </c>
      <c r="L457" s="71"/>
      <c r="M457" s="71"/>
      <c r="N457" s="71"/>
      <c r="O457" s="71"/>
      <c r="P457" s="71" t="str">
        <f>IFERROR(INDEX(RECICLADORES!C:C,MATCH(D457,RECICLADORES!B:B,0)),"")</f>
        <v/>
      </c>
      <c r="Q457" s="71" t="str">
        <f>IFERROR(INDEX(RECICLADORES!O:O,MATCH(D457,RECICLADORES!B:B,0)),"")</f>
        <v/>
      </c>
      <c r="R457" s="65"/>
      <c r="S457" s="65"/>
      <c r="T457" s="71"/>
      <c r="U457" s="71"/>
      <c r="V457" s="86"/>
    </row>
    <row r="458" spans="1:22" ht="16.5" thickTop="1" thickBot="1" x14ac:dyDescent="0.3">
      <c r="A458" s="35"/>
      <c r="C458" s="13"/>
      <c r="I458" s="23"/>
      <c r="J458" s="29" t="str">
        <f t="shared" si="5"/>
        <v/>
      </c>
      <c r="L458" s="71"/>
      <c r="M458" s="71"/>
      <c r="N458" s="71"/>
      <c r="O458" s="71"/>
      <c r="P458" s="71" t="str">
        <f>IFERROR(INDEX(RECICLADORES!C:C,MATCH(D458,RECICLADORES!B:B,0)),"")</f>
        <v/>
      </c>
      <c r="Q458" s="71" t="str">
        <f>IFERROR(INDEX(RECICLADORES!O:O,MATCH(D458,RECICLADORES!B:B,0)),"")</f>
        <v/>
      </c>
      <c r="R458" s="65"/>
      <c r="S458" s="65"/>
      <c r="T458" s="71"/>
      <c r="U458" s="71"/>
      <c r="V458" s="86"/>
    </row>
    <row r="459" spans="1:22" ht="16.5" thickTop="1" thickBot="1" x14ac:dyDescent="0.3">
      <c r="A459" s="34"/>
      <c r="C459" s="13"/>
      <c r="I459" s="23"/>
      <c r="J459" s="29" t="str">
        <f t="shared" si="5"/>
        <v/>
      </c>
      <c r="L459" s="71"/>
      <c r="M459" s="71"/>
      <c r="N459" s="71"/>
      <c r="O459" s="71"/>
      <c r="P459" s="71" t="str">
        <f>IFERROR(INDEX(RECICLADORES!C:C,MATCH(D459,RECICLADORES!B:B,0)),"")</f>
        <v/>
      </c>
      <c r="Q459" s="71" t="str">
        <f>IFERROR(INDEX(RECICLADORES!O:O,MATCH(D459,RECICLADORES!B:B,0)),"")</f>
        <v/>
      </c>
      <c r="R459" s="65"/>
      <c r="S459" s="65"/>
      <c r="T459" s="71"/>
      <c r="U459" s="71"/>
      <c r="V459" s="86"/>
    </row>
    <row r="460" spans="1:22" ht="16.5" thickTop="1" thickBot="1" x14ac:dyDescent="0.3">
      <c r="A460" s="35"/>
      <c r="C460" s="13"/>
      <c r="I460" s="23"/>
      <c r="J460" s="29" t="str">
        <f t="shared" si="5"/>
        <v/>
      </c>
      <c r="L460" s="71"/>
      <c r="M460" s="71"/>
      <c r="N460" s="71"/>
      <c r="O460" s="71"/>
      <c r="P460" s="71" t="str">
        <f>IFERROR(INDEX(RECICLADORES!C:C,MATCH(D460,RECICLADORES!B:B,0)),"")</f>
        <v/>
      </c>
      <c r="Q460" s="71" t="str">
        <f>IFERROR(INDEX(RECICLADORES!O:O,MATCH(D460,RECICLADORES!B:B,0)),"")</f>
        <v/>
      </c>
      <c r="R460" s="65"/>
      <c r="S460" s="65"/>
      <c r="T460" s="71"/>
      <c r="U460" s="71"/>
      <c r="V460" s="86"/>
    </row>
    <row r="461" spans="1:22" ht="16.5" thickTop="1" thickBot="1" x14ac:dyDescent="0.3">
      <c r="A461" s="34"/>
      <c r="C461" s="13"/>
      <c r="I461" s="23"/>
      <c r="J461" s="29" t="str">
        <f t="shared" si="5"/>
        <v/>
      </c>
      <c r="L461" s="71"/>
      <c r="M461" s="71"/>
      <c r="N461" s="71"/>
      <c r="O461" s="71"/>
      <c r="P461" s="71" t="str">
        <f>IFERROR(INDEX(RECICLADORES!C:C,MATCH(D461,RECICLADORES!B:B,0)),"")</f>
        <v/>
      </c>
      <c r="Q461" s="71" t="str">
        <f>IFERROR(INDEX(RECICLADORES!O:O,MATCH(D461,RECICLADORES!B:B,0)),"")</f>
        <v/>
      </c>
      <c r="R461" s="65"/>
      <c r="S461" s="65"/>
      <c r="T461" s="71"/>
      <c r="U461" s="71"/>
      <c r="V461" s="86"/>
    </row>
    <row r="462" spans="1:22" ht="16.5" thickTop="1" thickBot="1" x14ac:dyDescent="0.3">
      <c r="A462" s="35"/>
      <c r="C462" s="13"/>
      <c r="I462" s="23"/>
      <c r="J462" s="29" t="str">
        <f t="shared" si="5"/>
        <v/>
      </c>
      <c r="L462" s="71"/>
      <c r="M462" s="71"/>
      <c r="N462" s="71"/>
      <c r="O462" s="71"/>
      <c r="P462" s="71" t="str">
        <f>IFERROR(INDEX(RECICLADORES!C:C,MATCH(D462,RECICLADORES!B:B,0)),"")</f>
        <v/>
      </c>
      <c r="Q462" s="71" t="str">
        <f>IFERROR(INDEX(RECICLADORES!O:O,MATCH(D462,RECICLADORES!B:B,0)),"")</f>
        <v/>
      </c>
      <c r="R462" s="65"/>
      <c r="S462" s="65"/>
      <c r="T462" s="71"/>
      <c r="U462" s="71"/>
      <c r="V462" s="86"/>
    </row>
    <row r="463" spans="1:22" ht="16.5" thickTop="1" thickBot="1" x14ac:dyDescent="0.3">
      <c r="A463" s="34"/>
      <c r="C463" s="13"/>
      <c r="I463" s="23"/>
      <c r="J463" s="29" t="str">
        <f t="shared" si="5"/>
        <v/>
      </c>
      <c r="L463" s="71"/>
      <c r="M463" s="71"/>
      <c r="N463" s="71"/>
      <c r="O463" s="71"/>
      <c r="P463" s="71" t="str">
        <f>IFERROR(INDEX(RECICLADORES!C:C,MATCH(D463,RECICLADORES!B:B,0)),"")</f>
        <v/>
      </c>
      <c r="Q463" s="71" t="str">
        <f>IFERROR(INDEX(RECICLADORES!O:O,MATCH(D463,RECICLADORES!B:B,0)),"")</f>
        <v/>
      </c>
      <c r="R463" s="65"/>
      <c r="S463" s="65"/>
      <c r="T463" s="71"/>
      <c r="U463" s="71"/>
      <c r="V463" s="86"/>
    </row>
    <row r="464" spans="1:22" ht="16.5" thickTop="1" thickBot="1" x14ac:dyDescent="0.3">
      <c r="A464" s="35"/>
      <c r="C464" s="13"/>
      <c r="I464" s="23"/>
      <c r="J464" s="29" t="str">
        <f t="shared" si="5"/>
        <v/>
      </c>
      <c r="L464" s="71"/>
      <c r="M464" s="71"/>
      <c r="N464" s="71"/>
      <c r="O464" s="71"/>
      <c r="P464" s="71" t="str">
        <f>IFERROR(INDEX(RECICLADORES!C:C,MATCH(D464,RECICLADORES!B:B,0)),"")</f>
        <v/>
      </c>
      <c r="Q464" s="71" t="str">
        <f>IFERROR(INDEX(RECICLADORES!O:O,MATCH(D464,RECICLADORES!B:B,0)),"")</f>
        <v/>
      </c>
      <c r="R464" s="65"/>
      <c r="S464" s="65"/>
      <c r="T464" s="71"/>
      <c r="U464" s="71"/>
      <c r="V464" s="86"/>
    </row>
    <row r="465" spans="1:22" ht="16.5" thickTop="1" thickBot="1" x14ac:dyDescent="0.3">
      <c r="A465" s="34"/>
      <c r="C465" s="13"/>
      <c r="I465" s="23"/>
      <c r="J465" s="29" t="str">
        <f t="shared" si="5"/>
        <v/>
      </c>
      <c r="L465" s="71"/>
      <c r="M465" s="71"/>
      <c r="N465" s="71"/>
      <c r="O465" s="71"/>
      <c r="P465" s="71" t="str">
        <f>IFERROR(INDEX(RECICLADORES!C:C,MATCH(D465,RECICLADORES!B:B,0)),"")</f>
        <v/>
      </c>
      <c r="Q465" s="71" t="str">
        <f>IFERROR(INDEX(RECICLADORES!O:O,MATCH(D465,RECICLADORES!B:B,0)),"")</f>
        <v/>
      </c>
      <c r="R465" s="65"/>
      <c r="S465" s="65"/>
      <c r="T465" s="71"/>
      <c r="U465" s="71"/>
      <c r="V465" s="86"/>
    </row>
    <row r="466" spans="1:22" ht="16.5" thickTop="1" thickBot="1" x14ac:dyDescent="0.3">
      <c r="A466" s="35"/>
      <c r="C466" s="13"/>
      <c r="I466" s="23"/>
      <c r="J466" s="29" t="str">
        <f t="shared" si="5"/>
        <v/>
      </c>
      <c r="L466" s="71"/>
      <c r="M466" s="71"/>
      <c r="N466" s="71"/>
      <c r="O466" s="71"/>
      <c r="P466" s="71" t="str">
        <f>IFERROR(INDEX(RECICLADORES!C:C,MATCH(D466,RECICLADORES!B:B,0)),"")</f>
        <v/>
      </c>
      <c r="Q466" s="71" t="str">
        <f>IFERROR(INDEX(RECICLADORES!O:O,MATCH(D466,RECICLADORES!B:B,0)),"")</f>
        <v/>
      </c>
      <c r="R466" s="65"/>
      <c r="S466" s="65"/>
      <c r="T466" s="71"/>
      <c r="U466" s="71"/>
      <c r="V466" s="86"/>
    </row>
    <row r="467" spans="1:22" ht="16.5" thickTop="1" thickBot="1" x14ac:dyDescent="0.3">
      <c r="A467" s="34"/>
      <c r="C467" s="13"/>
      <c r="I467" s="23"/>
      <c r="J467" s="29" t="str">
        <f t="shared" si="5"/>
        <v/>
      </c>
      <c r="L467" s="71"/>
      <c r="M467" s="71"/>
      <c r="N467" s="71"/>
      <c r="O467" s="71"/>
      <c r="P467" s="71" t="str">
        <f>IFERROR(INDEX(RECICLADORES!C:C,MATCH(D467,RECICLADORES!B:B,0)),"")</f>
        <v/>
      </c>
      <c r="Q467" s="71" t="str">
        <f>IFERROR(INDEX(RECICLADORES!O:O,MATCH(D467,RECICLADORES!B:B,0)),"")</f>
        <v/>
      </c>
      <c r="R467" s="65"/>
      <c r="S467" s="65"/>
      <c r="T467" s="71"/>
      <c r="U467" s="71"/>
      <c r="V467" s="86"/>
    </row>
    <row r="468" spans="1:22" ht="16.5" thickTop="1" thickBot="1" x14ac:dyDescent="0.3">
      <c r="A468" s="35"/>
      <c r="C468" s="13"/>
      <c r="I468" s="23"/>
      <c r="J468" s="29" t="str">
        <f t="shared" si="5"/>
        <v/>
      </c>
      <c r="L468" s="71"/>
      <c r="M468" s="71"/>
      <c r="N468" s="71"/>
      <c r="O468" s="71"/>
      <c r="P468" s="71" t="str">
        <f>IFERROR(INDEX(RECICLADORES!C:C,MATCH(D468,RECICLADORES!B:B,0)),"")</f>
        <v/>
      </c>
      <c r="Q468" s="71" t="str">
        <f>IFERROR(INDEX(RECICLADORES!O:O,MATCH(D468,RECICLADORES!B:B,0)),"")</f>
        <v/>
      </c>
      <c r="R468" s="65"/>
      <c r="S468" s="65"/>
      <c r="T468" s="71"/>
      <c r="U468" s="71"/>
      <c r="V468" s="86"/>
    </row>
    <row r="469" spans="1:22" ht="16.5" thickTop="1" thickBot="1" x14ac:dyDescent="0.3">
      <c r="A469" s="34"/>
      <c r="C469" s="13"/>
      <c r="I469" s="23"/>
      <c r="J469" s="29" t="str">
        <f t="shared" si="5"/>
        <v/>
      </c>
      <c r="L469" s="71"/>
      <c r="M469" s="71"/>
      <c r="N469" s="71"/>
      <c r="O469" s="71"/>
      <c r="P469" s="71" t="str">
        <f>IFERROR(INDEX(RECICLADORES!C:C,MATCH(D469,RECICLADORES!B:B,0)),"")</f>
        <v/>
      </c>
      <c r="Q469" s="71" t="str">
        <f>IFERROR(INDEX(RECICLADORES!O:O,MATCH(D469,RECICLADORES!B:B,0)),"")</f>
        <v/>
      </c>
      <c r="R469" s="65"/>
      <c r="S469" s="65"/>
      <c r="T469" s="71"/>
      <c r="U469" s="71"/>
      <c r="V469" s="86"/>
    </row>
    <row r="470" spans="1:22" ht="16.5" thickTop="1" thickBot="1" x14ac:dyDescent="0.3">
      <c r="A470" s="35"/>
      <c r="C470" s="13"/>
      <c r="I470" s="23"/>
      <c r="J470" s="29" t="str">
        <f t="shared" si="5"/>
        <v/>
      </c>
      <c r="L470" s="71"/>
      <c r="M470" s="71"/>
      <c r="N470" s="71"/>
      <c r="O470" s="71"/>
      <c r="P470" s="71" t="str">
        <f>IFERROR(INDEX(RECICLADORES!C:C,MATCH(D470,RECICLADORES!B:B,0)),"")</f>
        <v/>
      </c>
      <c r="Q470" s="71" t="str">
        <f>IFERROR(INDEX(RECICLADORES!O:O,MATCH(D470,RECICLADORES!B:B,0)),"")</f>
        <v/>
      </c>
      <c r="R470" s="65"/>
      <c r="S470" s="65"/>
      <c r="T470" s="71"/>
      <c r="U470" s="71"/>
      <c r="V470" s="86"/>
    </row>
    <row r="471" spans="1:22" ht="16.5" thickTop="1" thickBot="1" x14ac:dyDescent="0.3">
      <c r="A471" s="34"/>
      <c r="C471" s="13"/>
      <c r="I471" s="23"/>
      <c r="J471" s="29" t="str">
        <f t="shared" si="5"/>
        <v/>
      </c>
      <c r="L471" s="71"/>
      <c r="M471" s="71"/>
      <c r="N471" s="71"/>
      <c r="O471" s="71"/>
      <c r="P471" s="71" t="str">
        <f>IFERROR(INDEX(RECICLADORES!C:C,MATCH(D471,RECICLADORES!B:B,0)),"")</f>
        <v/>
      </c>
      <c r="Q471" s="71" t="str">
        <f>IFERROR(INDEX(RECICLADORES!O:O,MATCH(D471,RECICLADORES!B:B,0)),"")</f>
        <v/>
      </c>
      <c r="R471" s="65"/>
      <c r="S471" s="65"/>
      <c r="T471" s="71"/>
      <c r="U471" s="71"/>
      <c r="V471" s="86"/>
    </row>
    <row r="472" spans="1:22" ht="16.5" thickTop="1" thickBot="1" x14ac:dyDescent="0.3">
      <c r="A472" s="35"/>
      <c r="C472" s="13"/>
      <c r="I472" s="23"/>
      <c r="J472" s="29" t="str">
        <f t="shared" si="5"/>
        <v/>
      </c>
      <c r="L472" s="71"/>
      <c r="M472" s="71"/>
      <c r="N472" s="71"/>
      <c r="O472" s="71"/>
      <c r="P472" s="71" t="str">
        <f>IFERROR(INDEX(RECICLADORES!C:C,MATCH(D472,RECICLADORES!B:B,0)),"")</f>
        <v/>
      </c>
      <c r="Q472" s="71" t="str">
        <f>IFERROR(INDEX(RECICLADORES!O:O,MATCH(D472,RECICLADORES!B:B,0)),"")</f>
        <v/>
      </c>
      <c r="R472" s="65"/>
      <c r="S472" s="65"/>
      <c r="T472" s="71"/>
      <c r="U472" s="71"/>
      <c r="V472" s="86"/>
    </row>
    <row r="473" spans="1:22" ht="16.5" thickTop="1" thickBot="1" x14ac:dyDescent="0.3">
      <c r="A473" s="34"/>
      <c r="C473" s="13"/>
      <c r="I473" s="23"/>
      <c r="J473" s="29" t="str">
        <f t="shared" si="5"/>
        <v/>
      </c>
      <c r="L473" s="71"/>
      <c r="M473" s="71"/>
      <c r="N473" s="71"/>
      <c r="O473" s="71"/>
      <c r="P473" s="71" t="str">
        <f>IFERROR(INDEX(RECICLADORES!C:C,MATCH(D473,RECICLADORES!B:B,0)),"")</f>
        <v/>
      </c>
      <c r="Q473" s="71" t="str">
        <f>IFERROR(INDEX(RECICLADORES!O:O,MATCH(D473,RECICLADORES!B:B,0)),"")</f>
        <v/>
      </c>
      <c r="R473" s="65"/>
      <c r="S473" s="65"/>
      <c r="T473" s="71"/>
      <c r="U473" s="71"/>
      <c r="V473" s="86"/>
    </row>
    <row r="474" spans="1:22" ht="16.5" thickTop="1" thickBot="1" x14ac:dyDescent="0.3">
      <c r="A474" s="35"/>
      <c r="C474" s="13"/>
      <c r="I474" s="23"/>
      <c r="J474" s="29" t="str">
        <f t="shared" si="5"/>
        <v/>
      </c>
      <c r="L474" s="71"/>
      <c r="M474" s="71"/>
      <c r="N474" s="71"/>
      <c r="O474" s="71"/>
      <c r="P474" s="71" t="str">
        <f>IFERROR(INDEX(RECICLADORES!C:C,MATCH(D474,RECICLADORES!B:B,0)),"")</f>
        <v/>
      </c>
      <c r="Q474" s="71" t="str">
        <f>IFERROR(INDEX(RECICLADORES!O:O,MATCH(D474,RECICLADORES!B:B,0)),"")</f>
        <v/>
      </c>
      <c r="R474" s="65"/>
      <c r="S474" s="65"/>
      <c r="T474" s="71"/>
      <c r="U474" s="71"/>
      <c r="V474" s="86"/>
    </row>
    <row r="475" spans="1:22" ht="16.5" thickTop="1" thickBot="1" x14ac:dyDescent="0.3">
      <c r="A475" s="34"/>
      <c r="C475" s="13"/>
      <c r="I475" s="23"/>
      <c r="J475" s="29" t="str">
        <f t="shared" si="5"/>
        <v/>
      </c>
      <c r="L475" s="71"/>
      <c r="M475" s="71"/>
      <c r="N475" s="71"/>
      <c r="O475" s="71"/>
      <c r="P475" s="71" t="str">
        <f>IFERROR(INDEX(RECICLADORES!C:C,MATCH(D475,RECICLADORES!B:B,0)),"")</f>
        <v/>
      </c>
      <c r="Q475" s="71" t="str">
        <f>IFERROR(INDEX(RECICLADORES!O:O,MATCH(D475,RECICLADORES!B:B,0)),"")</f>
        <v/>
      </c>
      <c r="R475" s="65"/>
      <c r="S475" s="65"/>
      <c r="T475" s="71"/>
      <c r="U475" s="71"/>
      <c r="V475" s="86"/>
    </row>
    <row r="476" spans="1:22" ht="16.5" thickTop="1" thickBot="1" x14ac:dyDescent="0.3">
      <c r="A476" s="35"/>
      <c r="C476" s="13"/>
      <c r="I476" s="23"/>
      <c r="J476" s="29" t="str">
        <f t="shared" si="5"/>
        <v/>
      </c>
      <c r="L476" s="71"/>
      <c r="M476" s="71"/>
      <c r="N476" s="71"/>
      <c r="O476" s="71"/>
      <c r="P476" s="71" t="str">
        <f>IFERROR(INDEX(RECICLADORES!C:C,MATCH(D476,RECICLADORES!B:B,0)),"")</f>
        <v/>
      </c>
      <c r="Q476" s="71" t="str">
        <f>IFERROR(INDEX(RECICLADORES!O:O,MATCH(D476,RECICLADORES!B:B,0)),"")</f>
        <v/>
      </c>
      <c r="R476" s="65"/>
      <c r="S476" s="65"/>
      <c r="T476" s="71"/>
      <c r="U476" s="71"/>
      <c r="V476" s="86"/>
    </row>
    <row r="477" spans="1:22" ht="16.5" thickTop="1" thickBot="1" x14ac:dyDescent="0.3">
      <c r="A477" s="34"/>
      <c r="C477" s="13"/>
      <c r="I477" s="23"/>
      <c r="J477" s="29" t="str">
        <f t="shared" si="5"/>
        <v/>
      </c>
      <c r="L477" s="71"/>
      <c r="M477" s="71"/>
      <c r="N477" s="71"/>
      <c r="O477" s="71"/>
      <c r="P477" s="71" t="str">
        <f>IFERROR(INDEX(RECICLADORES!C:C,MATCH(D477,RECICLADORES!B:B,0)),"")</f>
        <v/>
      </c>
      <c r="Q477" s="71" t="str">
        <f>IFERROR(INDEX(RECICLADORES!O:O,MATCH(D477,RECICLADORES!B:B,0)),"")</f>
        <v/>
      </c>
      <c r="R477" s="65"/>
      <c r="S477" s="65"/>
      <c r="T477" s="71"/>
      <c r="U477" s="71"/>
      <c r="V477" s="86"/>
    </row>
    <row r="478" spans="1:22" ht="16.5" thickTop="1" thickBot="1" x14ac:dyDescent="0.3">
      <c r="A478" s="35"/>
      <c r="C478" s="13"/>
      <c r="I478" s="23"/>
      <c r="J478" s="29" t="str">
        <f t="shared" si="5"/>
        <v/>
      </c>
      <c r="L478" s="71"/>
      <c r="M478" s="71"/>
      <c r="N478" s="71"/>
      <c r="O478" s="71"/>
      <c r="P478" s="71" t="str">
        <f>IFERROR(INDEX(RECICLADORES!C:C,MATCH(D478,RECICLADORES!B:B,0)),"")</f>
        <v/>
      </c>
      <c r="Q478" s="71" t="str">
        <f>IFERROR(INDEX(RECICLADORES!O:O,MATCH(D478,RECICLADORES!B:B,0)),"")</f>
        <v/>
      </c>
      <c r="R478" s="65"/>
      <c r="S478" s="65"/>
      <c r="T478" s="71"/>
      <c r="U478" s="71"/>
      <c r="V478" s="86"/>
    </row>
    <row r="479" spans="1:22" ht="16.5" thickTop="1" thickBot="1" x14ac:dyDescent="0.3">
      <c r="A479" s="34"/>
      <c r="C479" s="13"/>
      <c r="I479" s="23"/>
      <c r="J479" s="29" t="str">
        <f t="shared" si="5"/>
        <v/>
      </c>
      <c r="L479" s="71"/>
      <c r="M479" s="71"/>
      <c r="N479" s="71"/>
      <c r="O479" s="71"/>
      <c r="P479" s="71" t="str">
        <f>IFERROR(INDEX(RECICLADORES!C:C,MATCH(D479,RECICLADORES!B:B,0)),"")</f>
        <v/>
      </c>
      <c r="Q479" s="71" t="str">
        <f>IFERROR(INDEX(RECICLADORES!O:O,MATCH(D479,RECICLADORES!B:B,0)),"")</f>
        <v/>
      </c>
      <c r="R479" s="65"/>
      <c r="S479" s="65"/>
      <c r="T479" s="71"/>
      <c r="U479" s="71"/>
      <c r="V479" s="86"/>
    </row>
    <row r="480" spans="1:22" ht="16.5" thickTop="1" thickBot="1" x14ac:dyDescent="0.3">
      <c r="A480" s="35"/>
      <c r="C480" s="13"/>
      <c r="I480" s="23"/>
      <c r="J480" s="29" t="str">
        <f t="shared" si="5"/>
        <v/>
      </c>
      <c r="L480" s="71"/>
      <c r="M480" s="71"/>
      <c r="N480" s="71"/>
      <c r="O480" s="71"/>
      <c r="P480" s="71" t="str">
        <f>IFERROR(INDEX(RECICLADORES!C:C,MATCH(D480,RECICLADORES!B:B,0)),"")</f>
        <v/>
      </c>
      <c r="Q480" s="71" t="str">
        <f>IFERROR(INDEX(RECICLADORES!O:O,MATCH(D480,RECICLADORES!B:B,0)),"")</f>
        <v/>
      </c>
      <c r="R480" s="65"/>
      <c r="S480" s="65"/>
      <c r="T480" s="71"/>
      <c r="U480" s="71"/>
      <c r="V480" s="86"/>
    </row>
    <row r="481" spans="1:22" ht="16.5" thickTop="1" thickBot="1" x14ac:dyDescent="0.3">
      <c r="A481" s="34"/>
      <c r="C481" s="13"/>
      <c r="I481" s="23"/>
      <c r="J481" s="29" t="str">
        <f t="shared" si="5"/>
        <v/>
      </c>
      <c r="L481" s="71"/>
      <c r="M481" s="71"/>
      <c r="N481" s="71"/>
      <c r="O481" s="71"/>
      <c r="P481" s="71" t="str">
        <f>IFERROR(INDEX(RECICLADORES!C:C,MATCH(D481,RECICLADORES!B:B,0)),"")</f>
        <v/>
      </c>
      <c r="Q481" s="71" t="str">
        <f>IFERROR(INDEX(RECICLADORES!O:O,MATCH(D481,RECICLADORES!B:B,0)),"")</f>
        <v/>
      </c>
      <c r="R481" s="65"/>
      <c r="S481" s="65"/>
      <c r="T481" s="71"/>
      <c r="U481" s="71"/>
      <c r="V481" s="86"/>
    </row>
    <row r="482" spans="1:22" ht="16.5" thickTop="1" thickBot="1" x14ac:dyDescent="0.3">
      <c r="A482" s="35"/>
      <c r="C482" s="13"/>
      <c r="I482" s="23"/>
      <c r="J482" s="29" t="str">
        <f t="shared" si="5"/>
        <v/>
      </c>
      <c r="L482" s="71"/>
      <c r="M482" s="71"/>
      <c r="N482" s="71"/>
      <c r="O482" s="71"/>
      <c r="P482" s="71" t="str">
        <f>IFERROR(INDEX(RECICLADORES!C:C,MATCH(D482,RECICLADORES!B:B,0)),"")</f>
        <v/>
      </c>
      <c r="Q482" s="71" t="str">
        <f>IFERROR(INDEX(RECICLADORES!O:O,MATCH(D482,RECICLADORES!B:B,0)),"")</f>
        <v/>
      </c>
      <c r="R482" s="65"/>
      <c r="S482" s="65"/>
      <c r="T482" s="71"/>
      <c r="U482" s="71"/>
      <c r="V482" s="86"/>
    </row>
    <row r="483" spans="1:22" ht="16.5" thickTop="1" thickBot="1" x14ac:dyDescent="0.3">
      <c r="A483" s="35"/>
      <c r="C483" s="13"/>
      <c r="I483" s="23"/>
      <c r="J483" s="29" t="str">
        <f t="shared" si="5"/>
        <v/>
      </c>
      <c r="L483" s="71"/>
      <c r="M483" s="71"/>
      <c r="N483" s="71"/>
      <c r="O483" s="71"/>
      <c r="P483" s="71" t="str">
        <f>IFERROR(INDEX(RECICLADORES!C:C,MATCH(D483,RECICLADORES!B:B,0)),"")</f>
        <v/>
      </c>
      <c r="Q483" s="71" t="str">
        <f>IFERROR(INDEX(RECICLADORES!O:O,MATCH(D483,RECICLADORES!B:B,0)),"")</f>
        <v/>
      </c>
      <c r="R483" s="65"/>
      <c r="S483" s="65"/>
      <c r="T483" s="71"/>
      <c r="U483" s="71"/>
      <c r="V483" s="86"/>
    </row>
    <row r="484" spans="1:22" ht="16.5" thickTop="1" thickBot="1" x14ac:dyDescent="0.3">
      <c r="A484" s="34"/>
      <c r="C484" s="13"/>
      <c r="I484" s="23"/>
      <c r="J484" s="29" t="str">
        <f t="shared" si="5"/>
        <v/>
      </c>
      <c r="L484" s="71"/>
      <c r="M484" s="71"/>
      <c r="N484" s="71"/>
      <c r="O484" s="71"/>
      <c r="P484" s="71" t="str">
        <f>IFERROR(INDEX(RECICLADORES!C:C,MATCH(D484,RECICLADORES!B:B,0)),"")</f>
        <v/>
      </c>
      <c r="Q484" s="71" t="str">
        <f>IFERROR(INDEX(RECICLADORES!O:O,MATCH(D484,RECICLADORES!B:B,0)),"")</f>
        <v/>
      </c>
      <c r="R484" s="65"/>
      <c r="S484" s="65"/>
      <c r="T484" s="71"/>
      <c r="U484" s="71"/>
      <c r="V484" s="86"/>
    </row>
    <row r="485" spans="1:22" ht="16.5" thickTop="1" thickBot="1" x14ac:dyDescent="0.3">
      <c r="A485" s="35"/>
      <c r="C485" s="13"/>
      <c r="I485" s="23"/>
      <c r="J485" s="29" t="str">
        <f t="shared" si="5"/>
        <v/>
      </c>
      <c r="L485" s="71"/>
      <c r="M485" s="71"/>
      <c r="N485" s="71"/>
      <c r="O485" s="71"/>
      <c r="P485" s="71" t="str">
        <f>IFERROR(INDEX(RECICLADORES!C:C,MATCH(D485,RECICLADORES!B:B,0)),"")</f>
        <v/>
      </c>
      <c r="Q485" s="71" t="str">
        <f>IFERROR(INDEX(RECICLADORES!O:O,MATCH(D485,RECICLADORES!B:B,0)),"")</f>
        <v/>
      </c>
      <c r="R485" s="65"/>
      <c r="S485" s="65"/>
      <c r="T485" s="71"/>
      <c r="U485" s="71"/>
      <c r="V485" s="86"/>
    </row>
    <row r="486" spans="1:22" ht="16.5" thickTop="1" thickBot="1" x14ac:dyDescent="0.3">
      <c r="A486" s="34"/>
      <c r="C486" s="13"/>
      <c r="I486" s="23"/>
      <c r="J486" s="29" t="str">
        <f t="shared" si="5"/>
        <v/>
      </c>
      <c r="L486" s="71"/>
      <c r="M486" s="71"/>
      <c r="N486" s="71"/>
      <c r="O486" s="71"/>
      <c r="P486" s="71" t="str">
        <f>IFERROR(INDEX(RECICLADORES!C:C,MATCH(D486,RECICLADORES!B:B,0)),"")</f>
        <v/>
      </c>
      <c r="Q486" s="71" t="str">
        <f>IFERROR(INDEX(RECICLADORES!O:O,MATCH(D486,RECICLADORES!B:B,0)),"")</f>
        <v/>
      </c>
      <c r="R486" s="65"/>
      <c r="S486" s="65"/>
      <c r="T486" s="71"/>
      <c r="U486" s="71"/>
      <c r="V486" s="86"/>
    </row>
    <row r="487" spans="1:22" ht="16.5" thickTop="1" thickBot="1" x14ac:dyDescent="0.3">
      <c r="A487" s="35"/>
      <c r="C487" s="13"/>
      <c r="I487" s="23"/>
      <c r="J487" s="29" t="str">
        <f t="shared" si="5"/>
        <v/>
      </c>
      <c r="L487" s="71"/>
      <c r="M487" s="71"/>
      <c r="N487" s="71"/>
      <c r="O487" s="71"/>
      <c r="P487" s="71" t="str">
        <f>IFERROR(INDEX(RECICLADORES!C:C,MATCH(D487,RECICLADORES!B:B,0)),"")</f>
        <v/>
      </c>
      <c r="Q487" s="71" t="str">
        <f>IFERROR(INDEX(RECICLADORES!O:O,MATCH(D487,RECICLADORES!B:B,0)),"")</f>
        <v/>
      </c>
      <c r="R487" s="65"/>
      <c r="S487" s="65"/>
      <c r="T487" s="71"/>
      <c r="U487" s="71"/>
      <c r="V487" s="86"/>
    </row>
    <row r="488" spans="1:22" ht="16.5" thickTop="1" thickBot="1" x14ac:dyDescent="0.3">
      <c r="A488" s="34"/>
      <c r="C488" s="13"/>
      <c r="I488" s="23"/>
      <c r="J488" s="29" t="str">
        <f t="shared" si="5"/>
        <v/>
      </c>
      <c r="L488" s="71"/>
      <c r="M488" s="71"/>
      <c r="N488" s="71"/>
      <c r="O488" s="71"/>
      <c r="P488" s="71" t="str">
        <f>IFERROR(INDEX(RECICLADORES!C:C,MATCH(D488,RECICLADORES!B:B,0)),"")</f>
        <v/>
      </c>
      <c r="Q488" s="71" t="str">
        <f>IFERROR(INDEX(RECICLADORES!O:O,MATCH(D488,RECICLADORES!B:B,0)),"")</f>
        <v/>
      </c>
      <c r="R488" s="65"/>
      <c r="S488" s="65"/>
      <c r="T488" s="71"/>
      <c r="U488" s="71"/>
      <c r="V488" s="86"/>
    </row>
    <row r="489" spans="1:22" ht="16.5" thickTop="1" thickBot="1" x14ac:dyDescent="0.3">
      <c r="A489" s="35"/>
      <c r="C489" s="13"/>
      <c r="I489" s="23"/>
      <c r="J489" s="29" t="str">
        <f t="shared" si="5"/>
        <v/>
      </c>
      <c r="L489" s="71"/>
      <c r="M489" s="71"/>
      <c r="N489" s="71"/>
      <c r="O489" s="71"/>
      <c r="P489" s="71" t="str">
        <f>IFERROR(INDEX(RECICLADORES!C:C,MATCH(D489,RECICLADORES!B:B,0)),"")</f>
        <v/>
      </c>
      <c r="Q489" s="71" t="str">
        <f>IFERROR(INDEX(RECICLADORES!O:O,MATCH(D489,RECICLADORES!B:B,0)),"")</f>
        <v/>
      </c>
      <c r="R489" s="65"/>
      <c r="S489" s="65"/>
      <c r="T489" s="71"/>
      <c r="U489" s="71"/>
      <c r="V489" s="86"/>
    </row>
    <row r="490" spans="1:22" ht="16.5" thickTop="1" thickBot="1" x14ac:dyDescent="0.3">
      <c r="A490" s="34"/>
      <c r="C490" s="13"/>
      <c r="I490" s="23"/>
      <c r="J490" s="29" t="str">
        <f t="shared" si="5"/>
        <v/>
      </c>
      <c r="L490" s="71"/>
      <c r="M490" s="71"/>
      <c r="N490" s="71"/>
      <c r="O490" s="71"/>
      <c r="P490" s="71" t="str">
        <f>IFERROR(INDEX(RECICLADORES!C:C,MATCH(D490,RECICLADORES!B:B,0)),"")</f>
        <v/>
      </c>
      <c r="Q490" s="71" t="str">
        <f>IFERROR(INDEX(RECICLADORES!O:O,MATCH(D490,RECICLADORES!B:B,0)),"")</f>
        <v/>
      </c>
      <c r="R490" s="65"/>
      <c r="S490" s="65"/>
      <c r="T490" s="71"/>
      <c r="U490" s="71"/>
      <c r="V490" s="86"/>
    </row>
    <row r="491" spans="1:22" ht="16.5" thickTop="1" thickBot="1" x14ac:dyDescent="0.3">
      <c r="A491" s="35"/>
      <c r="C491" s="13"/>
      <c r="I491" s="23"/>
      <c r="J491" s="29" t="str">
        <f t="shared" ref="J491:J554" si="6">IF(C491="","",INT((DAY(C491)-1)/7)+1)</f>
        <v/>
      </c>
      <c r="L491" s="71"/>
      <c r="M491" s="71"/>
      <c r="N491" s="71"/>
      <c r="O491" s="71"/>
      <c r="P491" s="71" t="str">
        <f>IFERROR(INDEX(RECICLADORES!C:C,MATCH(D491,RECICLADORES!B:B,0)),"")</f>
        <v/>
      </c>
      <c r="Q491" s="71" t="str">
        <f>IFERROR(INDEX(RECICLADORES!O:O,MATCH(D491,RECICLADORES!B:B,0)),"")</f>
        <v/>
      </c>
      <c r="R491" s="65"/>
      <c r="S491" s="65"/>
      <c r="T491" s="71"/>
      <c r="U491" s="71"/>
      <c r="V491" s="86"/>
    </row>
    <row r="492" spans="1:22" ht="16.5" thickTop="1" thickBot="1" x14ac:dyDescent="0.3">
      <c r="A492" s="34"/>
      <c r="C492" s="13"/>
      <c r="I492" s="23"/>
      <c r="J492" s="29" t="str">
        <f t="shared" si="6"/>
        <v/>
      </c>
      <c r="L492" s="71"/>
      <c r="M492" s="71"/>
      <c r="N492" s="71"/>
      <c r="O492" s="71"/>
      <c r="P492" s="71" t="str">
        <f>IFERROR(INDEX(RECICLADORES!C:C,MATCH(D492,RECICLADORES!B:B,0)),"")</f>
        <v/>
      </c>
      <c r="Q492" s="71" t="str">
        <f>IFERROR(INDEX(RECICLADORES!O:O,MATCH(D492,RECICLADORES!B:B,0)),"")</f>
        <v/>
      </c>
      <c r="R492" s="65"/>
      <c r="S492" s="65"/>
      <c r="T492" s="71"/>
      <c r="U492" s="71"/>
      <c r="V492" s="86"/>
    </row>
    <row r="493" spans="1:22" ht="16.5" thickTop="1" thickBot="1" x14ac:dyDescent="0.3">
      <c r="A493" s="35"/>
      <c r="C493" s="13"/>
      <c r="I493" s="23"/>
      <c r="J493" s="29" t="str">
        <f t="shared" si="6"/>
        <v/>
      </c>
      <c r="L493" s="71"/>
      <c r="M493" s="71"/>
      <c r="N493" s="71"/>
      <c r="O493" s="71"/>
      <c r="P493" s="71" t="str">
        <f>IFERROR(INDEX(RECICLADORES!C:C,MATCH(D493,RECICLADORES!B:B,0)),"")</f>
        <v/>
      </c>
      <c r="Q493" s="71" t="str">
        <f>IFERROR(INDEX(RECICLADORES!O:O,MATCH(D493,RECICLADORES!B:B,0)),"")</f>
        <v/>
      </c>
      <c r="R493" s="65"/>
      <c r="S493" s="65"/>
      <c r="T493" s="71"/>
      <c r="U493" s="71"/>
      <c r="V493" s="86"/>
    </row>
    <row r="494" spans="1:22" ht="16.5" thickTop="1" thickBot="1" x14ac:dyDescent="0.3">
      <c r="A494" s="34"/>
      <c r="C494" s="13"/>
      <c r="I494" s="23"/>
      <c r="J494" s="29" t="str">
        <f t="shared" si="6"/>
        <v/>
      </c>
      <c r="L494" s="71"/>
      <c r="M494" s="71"/>
      <c r="N494" s="71"/>
      <c r="O494" s="71"/>
      <c r="P494" s="71" t="str">
        <f>IFERROR(INDEX(RECICLADORES!C:C,MATCH(D494,RECICLADORES!B:B,0)),"")</f>
        <v/>
      </c>
      <c r="Q494" s="71" t="str">
        <f>IFERROR(INDEX(RECICLADORES!O:O,MATCH(D494,RECICLADORES!B:B,0)),"")</f>
        <v/>
      </c>
      <c r="R494" s="65"/>
      <c r="S494" s="65"/>
      <c r="T494" s="71"/>
      <c r="U494" s="71"/>
      <c r="V494" s="86"/>
    </row>
    <row r="495" spans="1:22" ht="16.5" thickTop="1" thickBot="1" x14ac:dyDescent="0.3">
      <c r="A495" s="35"/>
      <c r="C495" s="13"/>
      <c r="I495" s="23"/>
      <c r="J495" s="29" t="str">
        <f t="shared" si="6"/>
        <v/>
      </c>
      <c r="L495" s="71"/>
      <c r="M495" s="71"/>
      <c r="N495" s="71"/>
      <c r="O495" s="71"/>
      <c r="P495" s="71" t="str">
        <f>IFERROR(INDEX(RECICLADORES!C:C,MATCH(D495,RECICLADORES!B:B,0)),"")</f>
        <v/>
      </c>
      <c r="Q495" s="71" t="str">
        <f>IFERROR(INDEX(RECICLADORES!O:O,MATCH(D495,RECICLADORES!B:B,0)),"")</f>
        <v/>
      </c>
      <c r="R495" s="65"/>
      <c r="S495" s="65"/>
      <c r="T495" s="71"/>
      <c r="U495" s="71"/>
      <c r="V495" s="86"/>
    </row>
    <row r="496" spans="1:22" ht="16.5" thickTop="1" thickBot="1" x14ac:dyDescent="0.3">
      <c r="A496" s="34"/>
      <c r="C496" s="13"/>
      <c r="I496" s="23"/>
      <c r="J496" s="29" t="str">
        <f t="shared" si="6"/>
        <v/>
      </c>
      <c r="L496" s="71"/>
      <c r="M496" s="71"/>
      <c r="N496" s="71"/>
      <c r="O496" s="71"/>
      <c r="P496" s="71" t="str">
        <f>IFERROR(INDEX(RECICLADORES!C:C,MATCH(D496,RECICLADORES!B:B,0)),"")</f>
        <v/>
      </c>
      <c r="Q496" s="71" t="str">
        <f>IFERROR(INDEX(RECICLADORES!O:O,MATCH(D496,RECICLADORES!B:B,0)),"")</f>
        <v/>
      </c>
      <c r="R496" s="65"/>
      <c r="S496" s="65"/>
      <c r="T496" s="71"/>
      <c r="U496" s="71"/>
      <c r="V496" s="86"/>
    </row>
    <row r="497" spans="1:22" ht="16.5" thickTop="1" thickBot="1" x14ac:dyDescent="0.3">
      <c r="A497" s="35"/>
      <c r="C497" s="13"/>
      <c r="I497" s="23"/>
      <c r="J497" s="29" t="str">
        <f t="shared" si="6"/>
        <v/>
      </c>
      <c r="L497" s="71"/>
      <c r="M497" s="71"/>
      <c r="N497" s="71"/>
      <c r="O497" s="71"/>
      <c r="P497" s="71" t="str">
        <f>IFERROR(INDEX(RECICLADORES!C:C,MATCH(D497,RECICLADORES!B:B,0)),"")</f>
        <v/>
      </c>
      <c r="Q497" s="71" t="str">
        <f>IFERROR(INDEX(RECICLADORES!O:O,MATCH(D497,RECICLADORES!B:B,0)),"")</f>
        <v/>
      </c>
      <c r="R497" s="65"/>
      <c r="S497" s="65"/>
      <c r="T497" s="71"/>
      <c r="U497" s="71"/>
      <c r="V497" s="86"/>
    </row>
    <row r="498" spans="1:22" ht="16.5" thickTop="1" thickBot="1" x14ac:dyDescent="0.3">
      <c r="A498" s="34"/>
      <c r="C498" s="13"/>
      <c r="I498" s="23"/>
      <c r="J498" s="29" t="str">
        <f t="shared" si="6"/>
        <v/>
      </c>
      <c r="L498" s="71"/>
      <c r="M498" s="71"/>
      <c r="N498" s="71"/>
      <c r="O498" s="71"/>
      <c r="P498" s="71" t="str">
        <f>IFERROR(INDEX(RECICLADORES!C:C,MATCH(D498,RECICLADORES!B:B,0)),"")</f>
        <v/>
      </c>
      <c r="Q498" s="71" t="str">
        <f>IFERROR(INDEX(RECICLADORES!O:O,MATCH(D498,RECICLADORES!B:B,0)),"")</f>
        <v/>
      </c>
      <c r="R498" s="65"/>
      <c r="S498" s="65"/>
      <c r="T498" s="71"/>
      <c r="U498" s="71"/>
      <c r="V498" s="86"/>
    </row>
    <row r="499" spans="1:22" ht="16.5" thickTop="1" thickBot="1" x14ac:dyDescent="0.3">
      <c r="A499" s="35"/>
      <c r="C499" s="13"/>
      <c r="I499" s="23"/>
      <c r="J499" s="29" t="str">
        <f t="shared" si="6"/>
        <v/>
      </c>
      <c r="L499" s="71"/>
      <c r="M499" s="71"/>
      <c r="N499" s="71"/>
      <c r="O499" s="71"/>
      <c r="P499" s="71" t="str">
        <f>IFERROR(INDEX(RECICLADORES!C:C,MATCH(D499,RECICLADORES!B:B,0)),"")</f>
        <v/>
      </c>
      <c r="Q499" s="71" t="str">
        <f>IFERROR(INDEX(RECICLADORES!O:O,MATCH(D499,RECICLADORES!B:B,0)),"")</f>
        <v/>
      </c>
      <c r="R499" s="65"/>
      <c r="S499" s="65"/>
      <c r="T499" s="71"/>
      <c r="U499" s="71"/>
      <c r="V499" s="86"/>
    </row>
    <row r="500" spans="1:22" ht="16.5" thickTop="1" thickBot="1" x14ac:dyDescent="0.3">
      <c r="A500" s="34"/>
      <c r="C500" s="13"/>
      <c r="I500" s="23"/>
      <c r="J500" s="29" t="str">
        <f t="shared" si="6"/>
        <v/>
      </c>
      <c r="L500" s="71"/>
      <c r="M500" s="71"/>
      <c r="N500" s="71"/>
      <c r="O500" s="71"/>
      <c r="P500" s="71" t="str">
        <f>IFERROR(INDEX(RECICLADORES!C:C,MATCH(D500,RECICLADORES!B:B,0)),"")</f>
        <v/>
      </c>
      <c r="Q500" s="71" t="str">
        <f>IFERROR(INDEX(RECICLADORES!O:O,MATCH(D500,RECICLADORES!B:B,0)),"")</f>
        <v/>
      </c>
      <c r="R500" s="65"/>
      <c r="S500" s="65"/>
      <c r="T500" s="71"/>
      <c r="U500" s="71"/>
      <c r="V500" s="86"/>
    </row>
    <row r="501" spans="1:22" ht="16.5" thickTop="1" thickBot="1" x14ac:dyDescent="0.3">
      <c r="A501" s="35"/>
      <c r="C501" s="13"/>
      <c r="I501" s="23"/>
      <c r="J501" s="29" t="str">
        <f t="shared" si="6"/>
        <v/>
      </c>
      <c r="L501" s="71"/>
      <c r="M501" s="71"/>
      <c r="N501" s="71"/>
      <c r="O501" s="71"/>
      <c r="P501" s="71" t="str">
        <f>IFERROR(INDEX(RECICLADORES!C:C,MATCH(D501,RECICLADORES!B:B,0)),"")</f>
        <v/>
      </c>
      <c r="Q501" s="71" t="str">
        <f>IFERROR(INDEX(RECICLADORES!O:O,MATCH(D501,RECICLADORES!B:B,0)),"")</f>
        <v/>
      </c>
      <c r="R501" s="65"/>
      <c r="S501" s="65"/>
      <c r="T501" s="71"/>
      <c r="U501" s="71"/>
      <c r="V501" s="86"/>
    </row>
    <row r="502" spans="1:22" ht="16.5" thickTop="1" thickBot="1" x14ac:dyDescent="0.3">
      <c r="A502" s="34"/>
      <c r="C502" s="13"/>
      <c r="I502" s="23"/>
      <c r="J502" s="29" t="str">
        <f t="shared" si="6"/>
        <v/>
      </c>
      <c r="L502" s="71"/>
      <c r="M502" s="71"/>
      <c r="N502" s="71"/>
      <c r="O502" s="71"/>
      <c r="P502" s="71" t="str">
        <f>IFERROR(INDEX(RECICLADORES!C:C,MATCH(D502,RECICLADORES!B:B,0)),"")</f>
        <v/>
      </c>
      <c r="Q502" s="71" t="str">
        <f>IFERROR(INDEX(RECICLADORES!O:O,MATCH(D502,RECICLADORES!B:B,0)),"")</f>
        <v/>
      </c>
      <c r="R502" s="65"/>
      <c r="S502" s="65"/>
      <c r="T502" s="71"/>
      <c r="U502" s="71"/>
      <c r="V502" s="86"/>
    </row>
    <row r="503" spans="1:22" ht="16.5" thickTop="1" thickBot="1" x14ac:dyDescent="0.3">
      <c r="A503" s="35"/>
      <c r="C503" s="13"/>
      <c r="I503" s="23"/>
      <c r="J503" s="29" t="str">
        <f t="shared" si="6"/>
        <v/>
      </c>
      <c r="L503" s="71"/>
      <c r="M503" s="71"/>
      <c r="N503" s="71"/>
      <c r="O503" s="71"/>
      <c r="P503" s="71" t="str">
        <f>IFERROR(INDEX(RECICLADORES!C:C,MATCH(D503,RECICLADORES!B:B,0)),"")</f>
        <v/>
      </c>
      <c r="Q503" s="71" t="str">
        <f>IFERROR(INDEX(RECICLADORES!O:O,MATCH(D503,RECICLADORES!B:B,0)),"")</f>
        <v/>
      </c>
      <c r="R503" s="65"/>
      <c r="S503" s="65"/>
      <c r="T503" s="71"/>
      <c r="U503" s="71"/>
      <c r="V503" s="86"/>
    </row>
    <row r="504" spans="1:22" ht="16.5" thickTop="1" thickBot="1" x14ac:dyDescent="0.3">
      <c r="A504" s="34"/>
      <c r="C504" s="13"/>
      <c r="I504" s="23"/>
      <c r="J504" s="29" t="str">
        <f t="shared" si="6"/>
        <v/>
      </c>
      <c r="L504" s="71"/>
      <c r="M504" s="71"/>
      <c r="N504" s="71"/>
      <c r="O504" s="71"/>
      <c r="P504" s="71" t="str">
        <f>IFERROR(INDEX(RECICLADORES!C:C,MATCH(D504,RECICLADORES!B:B,0)),"")</f>
        <v/>
      </c>
      <c r="Q504" s="71" t="str">
        <f>IFERROR(INDEX(RECICLADORES!O:O,MATCH(D504,RECICLADORES!B:B,0)),"")</f>
        <v/>
      </c>
      <c r="R504" s="65"/>
      <c r="S504" s="65"/>
      <c r="T504" s="71"/>
      <c r="U504" s="71"/>
      <c r="V504" s="86"/>
    </row>
    <row r="505" spans="1:22" ht="16.5" thickTop="1" thickBot="1" x14ac:dyDescent="0.3">
      <c r="A505" s="35"/>
      <c r="C505" s="13"/>
      <c r="I505" s="23"/>
      <c r="J505" s="29" t="str">
        <f t="shared" si="6"/>
        <v/>
      </c>
      <c r="L505" s="71"/>
      <c r="M505" s="71"/>
      <c r="N505" s="71"/>
      <c r="O505" s="71"/>
      <c r="P505" s="71" t="str">
        <f>IFERROR(INDEX(RECICLADORES!C:C,MATCH(D505,RECICLADORES!B:B,0)),"")</f>
        <v/>
      </c>
      <c r="Q505" s="71" t="str">
        <f>IFERROR(INDEX(RECICLADORES!O:O,MATCH(D505,RECICLADORES!B:B,0)),"")</f>
        <v/>
      </c>
      <c r="R505" s="65"/>
      <c r="S505" s="65"/>
      <c r="T505" s="71"/>
      <c r="U505" s="71"/>
      <c r="V505" s="86"/>
    </row>
    <row r="506" spans="1:22" ht="16.5" thickTop="1" thickBot="1" x14ac:dyDescent="0.3">
      <c r="A506" s="34"/>
      <c r="C506" s="13"/>
      <c r="I506" s="23"/>
      <c r="J506" s="29" t="str">
        <f t="shared" si="6"/>
        <v/>
      </c>
      <c r="L506" s="71"/>
      <c r="M506" s="71"/>
      <c r="N506" s="71"/>
      <c r="O506" s="71"/>
      <c r="P506" s="71" t="str">
        <f>IFERROR(INDEX(RECICLADORES!C:C,MATCH(D506,RECICLADORES!B:B,0)),"")</f>
        <v/>
      </c>
      <c r="Q506" s="71" t="str">
        <f>IFERROR(INDEX(RECICLADORES!O:O,MATCH(D506,RECICLADORES!B:B,0)),"")</f>
        <v/>
      </c>
      <c r="R506" s="65"/>
      <c r="S506" s="65"/>
      <c r="T506" s="71"/>
      <c r="U506" s="71"/>
      <c r="V506" s="86"/>
    </row>
    <row r="507" spans="1:22" ht="16.5" thickTop="1" thickBot="1" x14ac:dyDescent="0.3">
      <c r="A507" s="35"/>
      <c r="C507" s="13"/>
      <c r="I507" s="23"/>
      <c r="J507" s="29" t="str">
        <f t="shared" si="6"/>
        <v/>
      </c>
      <c r="L507" s="71"/>
      <c r="M507" s="71"/>
      <c r="N507" s="71"/>
      <c r="O507" s="71"/>
      <c r="P507" s="71" t="str">
        <f>IFERROR(INDEX(RECICLADORES!C:C,MATCH(D507,RECICLADORES!B:B,0)),"")</f>
        <v/>
      </c>
      <c r="Q507" s="71" t="str">
        <f>IFERROR(INDEX(RECICLADORES!O:O,MATCH(D507,RECICLADORES!B:B,0)),"")</f>
        <v/>
      </c>
      <c r="R507" s="65"/>
      <c r="S507" s="65"/>
      <c r="T507" s="71"/>
      <c r="U507" s="71"/>
      <c r="V507" s="86"/>
    </row>
    <row r="508" spans="1:22" ht="16.5" thickTop="1" thickBot="1" x14ac:dyDescent="0.3">
      <c r="A508" s="34"/>
      <c r="C508" s="13"/>
      <c r="I508" s="23"/>
      <c r="J508" s="29" t="str">
        <f t="shared" si="6"/>
        <v/>
      </c>
      <c r="L508" s="71"/>
      <c r="M508" s="71"/>
      <c r="N508" s="71"/>
      <c r="O508" s="71"/>
      <c r="P508" s="71" t="str">
        <f>IFERROR(INDEX(RECICLADORES!C:C,MATCH(D508,RECICLADORES!B:B,0)),"")</f>
        <v/>
      </c>
      <c r="Q508" s="71" t="str">
        <f>IFERROR(INDEX(RECICLADORES!O:O,MATCH(D508,RECICLADORES!B:B,0)),"")</f>
        <v/>
      </c>
      <c r="R508" s="65"/>
      <c r="S508" s="65"/>
      <c r="T508" s="71"/>
      <c r="U508" s="71"/>
      <c r="V508" s="86"/>
    </row>
    <row r="509" spans="1:22" ht="16.5" thickTop="1" thickBot="1" x14ac:dyDescent="0.3">
      <c r="A509" s="35"/>
      <c r="C509" s="13"/>
      <c r="I509" s="23"/>
      <c r="J509" s="29" t="str">
        <f t="shared" si="6"/>
        <v/>
      </c>
      <c r="L509" s="71"/>
      <c r="M509" s="71"/>
      <c r="N509" s="71"/>
      <c r="O509" s="71"/>
      <c r="P509" s="71" t="str">
        <f>IFERROR(INDEX(RECICLADORES!C:C,MATCH(D509,RECICLADORES!B:B,0)),"")</f>
        <v/>
      </c>
      <c r="Q509" s="71" t="str">
        <f>IFERROR(INDEX(RECICLADORES!O:O,MATCH(D509,RECICLADORES!B:B,0)),"")</f>
        <v/>
      </c>
      <c r="R509" s="65"/>
      <c r="S509" s="65"/>
      <c r="T509" s="71"/>
      <c r="U509" s="71"/>
      <c r="V509" s="86"/>
    </row>
    <row r="510" spans="1:22" ht="16.5" thickTop="1" thickBot="1" x14ac:dyDescent="0.3">
      <c r="A510" s="34"/>
      <c r="C510" s="13"/>
      <c r="I510" s="23"/>
      <c r="J510" s="29" t="str">
        <f t="shared" si="6"/>
        <v/>
      </c>
      <c r="L510" s="71"/>
      <c r="M510" s="71"/>
      <c r="N510" s="71"/>
      <c r="O510" s="71"/>
      <c r="P510" s="71" t="str">
        <f>IFERROR(INDEX(RECICLADORES!C:C,MATCH(D510,RECICLADORES!B:B,0)),"")</f>
        <v/>
      </c>
      <c r="Q510" s="71" t="str">
        <f>IFERROR(INDEX(RECICLADORES!O:O,MATCH(D510,RECICLADORES!B:B,0)),"")</f>
        <v/>
      </c>
      <c r="R510" s="65"/>
      <c r="S510" s="65"/>
      <c r="T510" s="71"/>
      <c r="U510" s="71"/>
      <c r="V510" s="86"/>
    </row>
    <row r="511" spans="1:22" ht="16.5" thickTop="1" thickBot="1" x14ac:dyDescent="0.3">
      <c r="A511" s="35"/>
      <c r="C511" s="13"/>
      <c r="I511" s="23"/>
      <c r="J511" s="29" t="str">
        <f t="shared" si="6"/>
        <v/>
      </c>
      <c r="L511" s="71"/>
      <c r="M511" s="71"/>
      <c r="N511" s="71"/>
      <c r="O511" s="71"/>
      <c r="P511" s="71" t="str">
        <f>IFERROR(INDEX(RECICLADORES!C:C,MATCH(D511,RECICLADORES!B:B,0)),"")</f>
        <v/>
      </c>
      <c r="Q511" s="71" t="str">
        <f>IFERROR(INDEX(RECICLADORES!O:O,MATCH(D511,RECICLADORES!B:B,0)),"")</f>
        <v/>
      </c>
      <c r="R511" s="65"/>
      <c r="S511" s="65"/>
      <c r="T511" s="71"/>
      <c r="U511" s="71"/>
      <c r="V511" s="86"/>
    </row>
    <row r="512" spans="1:22" ht="16.5" thickTop="1" thickBot="1" x14ac:dyDescent="0.3">
      <c r="A512" s="35"/>
      <c r="C512" s="13"/>
      <c r="I512" s="23"/>
      <c r="J512" s="29" t="str">
        <f t="shared" si="6"/>
        <v/>
      </c>
      <c r="L512" s="71"/>
      <c r="M512" s="71"/>
      <c r="N512" s="71"/>
      <c r="O512" s="71"/>
      <c r="P512" s="71" t="str">
        <f>IFERROR(INDEX(RECICLADORES!C:C,MATCH(D512,RECICLADORES!B:B,0)),"")</f>
        <v/>
      </c>
      <c r="Q512" s="71" t="str">
        <f>IFERROR(INDEX(RECICLADORES!O:O,MATCH(D512,RECICLADORES!B:B,0)),"")</f>
        <v/>
      </c>
      <c r="R512" s="65"/>
      <c r="S512" s="65"/>
      <c r="T512" s="71"/>
      <c r="U512" s="71"/>
      <c r="V512" s="86"/>
    </row>
    <row r="513" spans="1:22" ht="16.5" thickTop="1" thickBot="1" x14ac:dyDescent="0.3">
      <c r="A513" s="34"/>
      <c r="C513" s="13"/>
      <c r="I513" s="23"/>
      <c r="J513" s="29" t="str">
        <f t="shared" si="6"/>
        <v/>
      </c>
      <c r="L513" s="71"/>
      <c r="M513" s="71"/>
      <c r="N513" s="71"/>
      <c r="O513" s="71"/>
      <c r="P513" s="71" t="str">
        <f>IFERROR(INDEX(RECICLADORES!C:C,MATCH(D513,RECICLADORES!B:B,0)),"")</f>
        <v/>
      </c>
      <c r="Q513" s="71" t="str">
        <f>IFERROR(INDEX(RECICLADORES!O:O,MATCH(D513,RECICLADORES!B:B,0)),"")</f>
        <v/>
      </c>
      <c r="R513" s="65"/>
      <c r="S513" s="65"/>
      <c r="T513" s="71"/>
      <c r="U513" s="71"/>
      <c r="V513" s="86"/>
    </row>
    <row r="514" spans="1:22" ht="16.5" thickTop="1" thickBot="1" x14ac:dyDescent="0.3">
      <c r="A514" s="35"/>
      <c r="C514" s="13"/>
      <c r="I514" s="23"/>
      <c r="J514" s="29" t="str">
        <f t="shared" si="6"/>
        <v/>
      </c>
      <c r="L514" s="71"/>
      <c r="M514" s="71"/>
      <c r="N514" s="71"/>
      <c r="O514" s="71"/>
      <c r="P514" s="71" t="str">
        <f>IFERROR(INDEX(RECICLADORES!C:C,MATCH(D514,RECICLADORES!B:B,0)),"")</f>
        <v/>
      </c>
      <c r="Q514" s="71" t="str">
        <f>IFERROR(INDEX(RECICLADORES!O:O,MATCH(D514,RECICLADORES!B:B,0)),"")</f>
        <v/>
      </c>
      <c r="R514" s="65"/>
      <c r="S514" s="65"/>
      <c r="T514" s="71"/>
      <c r="U514" s="71"/>
      <c r="V514" s="86"/>
    </row>
    <row r="515" spans="1:22" ht="16.5" thickTop="1" thickBot="1" x14ac:dyDescent="0.3">
      <c r="A515" s="34"/>
      <c r="C515" s="13"/>
      <c r="I515" s="23"/>
      <c r="J515" s="29" t="str">
        <f t="shared" si="6"/>
        <v/>
      </c>
      <c r="L515" s="71"/>
      <c r="M515" s="71"/>
      <c r="N515" s="71"/>
      <c r="O515" s="71"/>
      <c r="P515" s="71" t="str">
        <f>IFERROR(INDEX(RECICLADORES!C:C,MATCH(D515,RECICLADORES!B:B,0)),"")</f>
        <v/>
      </c>
      <c r="Q515" s="71" t="str">
        <f>IFERROR(INDEX(RECICLADORES!O:O,MATCH(D515,RECICLADORES!B:B,0)),"")</f>
        <v/>
      </c>
      <c r="R515" s="65"/>
      <c r="S515" s="65"/>
      <c r="T515" s="71"/>
      <c r="U515" s="71"/>
      <c r="V515" s="86"/>
    </row>
    <row r="516" spans="1:22" ht="16.5" thickTop="1" thickBot="1" x14ac:dyDescent="0.3">
      <c r="A516" s="35"/>
      <c r="C516" s="13"/>
      <c r="I516" s="23"/>
      <c r="J516" s="29" t="str">
        <f t="shared" si="6"/>
        <v/>
      </c>
      <c r="L516" s="71"/>
      <c r="M516" s="71"/>
      <c r="N516" s="71"/>
      <c r="O516" s="71"/>
      <c r="P516" s="71" t="str">
        <f>IFERROR(INDEX(RECICLADORES!C:C,MATCH(D516,RECICLADORES!B:B,0)),"")</f>
        <v/>
      </c>
      <c r="Q516" s="71" t="str">
        <f>IFERROR(INDEX(RECICLADORES!O:O,MATCH(D516,RECICLADORES!B:B,0)),"")</f>
        <v/>
      </c>
      <c r="R516" s="65"/>
      <c r="S516" s="65"/>
      <c r="T516" s="71"/>
      <c r="U516" s="71"/>
      <c r="V516" s="86"/>
    </row>
    <row r="517" spans="1:22" ht="16.5" thickTop="1" thickBot="1" x14ac:dyDescent="0.3">
      <c r="A517" s="34"/>
      <c r="C517" s="13"/>
      <c r="I517" s="23"/>
      <c r="J517" s="29" t="str">
        <f t="shared" si="6"/>
        <v/>
      </c>
      <c r="L517" s="71"/>
      <c r="M517" s="71"/>
      <c r="N517" s="71"/>
      <c r="O517" s="71"/>
      <c r="P517" s="71" t="str">
        <f>IFERROR(INDEX(RECICLADORES!C:C,MATCH(D517,RECICLADORES!B:B,0)),"")</f>
        <v/>
      </c>
      <c r="Q517" s="71" t="str">
        <f>IFERROR(INDEX(RECICLADORES!O:O,MATCH(D517,RECICLADORES!B:B,0)),"")</f>
        <v/>
      </c>
      <c r="R517" s="65"/>
      <c r="S517" s="65"/>
      <c r="T517" s="71"/>
      <c r="U517" s="71"/>
      <c r="V517" s="86"/>
    </row>
    <row r="518" spans="1:22" ht="16.5" thickTop="1" thickBot="1" x14ac:dyDescent="0.3">
      <c r="A518" s="35"/>
      <c r="C518" s="13"/>
      <c r="I518" s="23"/>
      <c r="J518" s="29" t="str">
        <f t="shared" si="6"/>
        <v/>
      </c>
      <c r="L518" s="71"/>
      <c r="M518" s="71"/>
      <c r="N518" s="71"/>
      <c r="O518" s="71"/>
      <c r="P518" s="71" t="str">
        <f>IFERROR(INDEX(RECICLADORES!C:C,MATCH(D518,RECICLADORES!B:B,0)),"")</f>
        <v/>
      </c>
      <c r="Q518" s="71" t="str">
        <f>IFERROR(INDEX(RECICLADORES!O:O,MATCH(D518,RECICLADORES!B:B,0)),"")</f>
        <v/>
      </c>
      <c r="R518" s="65"/>
      <c r="S518" s="65"/>
      <c r="T518" s="71"/>
      <c r="U518" s="71"/>
      <c r="V518" s="86"/>
    </row>
    <row r="519" spans="1:22" ht="16.5" thickTop="1" thickBot="1" x14ac:dyDescent="0.3">
      <c r="A519" s="34"/>
      <c r="C519" s="13"/>
      <c r="I519" s="23"/>
      <c r="J519" s="29" t="str">
        <f t="shared" si="6"/>
        <v/>
      </c>
      <c r="L519" s="71"/>
      <c r="M519" s="71"/>
      <c r="N519" s="71"/>
      <c r="O519" s="71"/>
      <c r="P519" s="71" t="str">
        <f>IFERROR(INDEX(RECICLADORES!C:C,MATCH(D519,RECICLADORES!B:B,0)),"")</f>
        <v/>
      </c>
      <c r="Q519" s="71" t="str">
        <f>IFERROR(INDEX(RECICLADORES!O:O,MATCH(D519,RECICLADORES!B:B,0)),"")</f>
        <v/>
      </c>
      <c r="R519" s="65"/>
      <c r="S519" s="65"/>
      <c r="T519" s="71"/>
      <c r="U519" s="71"/>
      <c r="V519" s="86"/>
    </row>
    <row r="520" spans="1:22" ht="16.5" thickTop="1" thickBot="1" x14ac:dyDescent="0.3">
      <c r="A520" s="35"/>
      <c r="C520" s="13"/>
      <c r="I520" s="23"/>
      <c r="J520" s="29" t="str">
        <f t="shared" si="6"/>
        <v/>
      </c>
      <c r="L520" s="71"/>
      <c r="M520" s="71"/>
      <c r="N520" s="71"/>
      <c r="O520" s="71"/>
      <c r="P520" s="71" t="str">
        <f>IFERROR(INDEX(RECICLADORES!C:C,MATCH(D520,RECICLADORES!B:B,0)),"")</f>
        <v/>
      </c>
      <c r="Q520" s="71" t="str">
        <f>IFERROR(INDEX(RECICLADORES!O:O,MATCH(D520,RECICLADORES!B:B,0)),"")</f>
        <v/>
      </c>
      <c r="R520" s="65"/>
      <c r="S520" s="65"/>
      <c r="T520" s="71"/>
      <c r="U520" s="71"/>
      <c r="V520" s="86"/>
    </row>
    <row r="521" spans="1:22" ht="16.5" thickTop="1" thickBot="1" x14ac:dyDescent="0.3">
      <c r="A521" s="34"/>
      <c r="C521" s="13"/>
      <c r="I521" s="23"/>
      <c r="J521" s="29" t="str">
        <f t="shared" si="6"/>
        <v/>
      </c>
      <c r="L521" s="71"/>
      <c r="M521" s="71"/>
      <c r="N521" s="71"/>
      <c r="O521" s="71"/>
      <c r="P521" s="71" t="str">
        <f>IFERROR(INDEX(RECICLADORES!C:C,MATCH(D521,RECICLADORES!B:B,0)),"")</f>
        <v/>
      </c>
      <c r="Q521" s="71" t="str">
        <f>IFERROR(INDEX(RECICLADORES!O:O,MATCH(D521,RECICLADORES!B:B,0)),"")</f>
        <v/>
      </c>
      <c r="R521" s="65"/>
      <c r="S521" s="65"/>
      <c r="T521" s="71"/>
      <c r="U521" s="71"/>
      <c r="V521" s="86"/>
    </row>
    <row r="522" spans="1:22" ht="16.5" thickTop="1" thickBot="1" x14ac:dyDescent="0.3">
      <c r="A522" s="35"/>
      <c r="C522" s="13"/>
      <c r="I522" s="23"/>
      <c r="J522" s="29" t="str">
        <f t="shared" si="6"/>
        <v/>
      </c>
      <c r="L522" s="71"/>
      <c r="M522" s="71"/>
      <c r="N522" s="71"/>
      <c r="O522" s="71"/>
      <c r="P522" s="71" t="str">
        <f>IFERROR(INDEX(RECICLADORES!C:C,MATCH(D522,RECICLADORES!B:B,0)),"")</f>
        <v/>
      </c>
      <c r="Q522" s="71" t="str">
        <f>IFERROR(INDEX(RECICLADORES!O:O,MATCH(D522,RECICLADORES!B:B,0)),"")</f>
        <v/>
      </c>
      <c r="R522" s="65"/>
      <c r="S522" s="65"/>
      <c r="T522" s="71"/>
      <c r="U522" s="71"/>
      <c r="V522" s="86"/>
    </row>
    <row r="523" spans="1:22" ht="16.5" thickTop="1" thickBot="1" x14ac:dyDescent="0.3">
      <c r="A523" s="34"/>
      <c r="C523" s="13"/>
      <c r="I523" s="23"/>
      <c r="J523" s="29" t="str">
        <f t="shared" si="6"/>
        <v/>
      </c>
      <c r="L523" s="71"/>
      <c r="M523" s="71"/>
      <c r="N523" s="71"/>
      <c r="O523" s="71"/>
      <c r="P523" s="71" t="str">
        <f>IFERROR(INDEX(RECICLADORES!C:C,MATCH(D523,RECICLADORES!B:B,0)),"")</f>
        <v/>
      </c>
      <c r="Q523" s="71" t="str">
        <f>IFERROR(INDEX(RECICLADORES!O:O,MATCH(D523,RECICLADORES!B:B,0)),"")</f>
        <v/>
      </c>
      <c r="R523" s="65"/>
      <c r="S523" s="65"/>
      <c r="T523" s="71"/>
      <c r="U523" s="71"/>
      <c r="V523" s="86"/>
    </row>
    <row r="524" spans="1:22" ht="16.5" thickTop="1" thickBot="1" x14ac:dyDescent="0.3">
      <c r="A524" s="35"/>
      <c r="C524" s="13"/>
      <c r="I524" s="23"/>
      <c r="J524" s="29" t="str">
        <f t="shared" si="6"/>
        <v/>
      </c>
      <c r="L524" s="71"/>
      <c r="M524" s="71"/>
      <c r="N524" s="71"/>
      <c r="O524" s="71"/>
      <c r="P524" s="71" t="str">
        <f>IFERROR(INDEX(RECICLADORES!C:C,MATCH(D524,RECICLADORES!B:B,0)),"")</f>
        <v/>
      </c>
      <c r="Q524" s="71" t="str">
        <f>IFERROR(INDEX(RECICLADORES!O:O,MATCH(D524,RECICLADORES!B:B,0)),"")</f>
        <v/>
      </c>
      <c r="R524" s="65"/>
      <c r="S524" s="65"/>
      <c r="T524" s="71"/>
      <c r="U524" s="71"/>
      <c r="V524" s="86"/>
    </row>
    <row r="525" spans="1:22" ht="16.5" thickTop="1" thickBot="1" x14ac:dyDescent="0.3">
      <c r="A525" s="34"/>
      <c r="C525" s="13"/>
      <c r="I525" s="23"/>
      <c r="J525" s="29" t="str">
        <f t="shared" si="6"/>
        <v/>
      </c>
      <c r="L525" s="71"/>
      <c r="M525" s="71"/>
      <c r="N525" s="71"/>
      <c r="O525" s="71"/>
      <c r="P525" s="71" t="str">
        <f>IFERROR(INDEX(RECICLADORES!C:C,MATCH(D525,RECICLADORES!B:B,0)),"")</f>
        <v/>
      </c>
      <c r="Q525" s="71" t="str">
        <f>IFERROR(INDEX(RECICLADORES!O:O,MATCH(D525,RECICLADORES!B:B,0)),"")</f>
        <v/>
      </c>
      <c r="R525" s="65"/>
      <c r="S525" s="65"/>
      <c r="T525" s="71"/>
      <c r="U525" s="71"/>
      <c r="V525" s="86"/>
    </row>
    <row r="526" spans="1:22" ht="16.5" thickTop="1" thickBot="1" x14ac:dyDescent="0.3">
      <c r="A526" s="35"/>
      <c r="C526" s="13"/>
      <c r="I526" s="23"/>
      <c r="J526" s="29" t="str">
        <f t="shared" si="6"/>
        <v/>
      </c>
      <c r="L526" s="71"/>
      <c r="M526" s="71"/>
      <c r="N526" s="71"/>
      <c r="O526" s="71"/>
      <c r="P526" s="71" t="str">
        <f>IFERROR(INDEX(RECICLADORES!C:C,MATCH(D526,RECICLADORES!B:B,0)),"")</f>
        <v/>
      </c>
      <c r="Q526" s="71" t="str">
        <f>IFERROR(INDEX(RECICLADORES!O:O,MATCH(D526,RECICLADORES!B:B,0)),"")</f>
        <v/>
      </c>
      <c r="R526" s="65"/>
      <c r="S526" s="65"/>
      <c r="T526" s="71"/>
      <c r="U526" s="71"/>
      <c r="V526" s="86"/>
    </row>
    <row r="527" spans="1:22" ht="16.5" thickTop="1" thickBot="1" x14ac:dyDescent="0.3">
      <c r="A527" s="34"/>
      <c r="C527" s="13"/>
      <c r="I527" s="23"/>
      <c r="J527" s="29" t="str">
        <f t="shared" si="6"/>
        <v/>
      </c>
      <c r="L527" s="71"/>
      <c r="M527" s="71"/>
      <c r="N527" s="71"/>
      <c r="O527" s="71"/>
      <c r="P527" s="71" t="str">
        <f>IFERROR(INDEX(RECICLADORES!C:C,MATCH(D527,RECICLADORES!B:B,0)),"")</f>
        <v/>
      </c>
      <c r="Q527" s="71" t="str">
        <f>IFERROR(INDEX(RECICLADORES!O:O,MATCH(D527,RECICLADORES!B:B,0)),"")</f>
        <v/>
      </c>
      <c r="R527" s="65"/>
      <c r="S527" s="65"/>
      <c r="T527" s="71"/>
      <c r="U527" s="71"/>
      <c r="V527" s="86"/>
    </row>
    <row r="528" spans="1:22" ht="16.5" thickTop="1" thickBot="1" x14ac:dyDescent="0.3">
      <c r="A528" s="35"/>
      <c r="C528" s="13"/>
      <c r="I528" s="23"/>
      <c r="J528" s="29" t="str">
        <f t="shared" si="6"/>
        <v/>
      </c>
      <c r="L528" s="71"/>
      <c r="M528" s="71"/>
      <c r="N528" s="71"/>
      <c r="O528" s="71"/>
      <c r="P528" s="71" t="str">
        <f>IFERROR(INDEX(RECICLADORES!C:C,MATCH(D528,RECICLADORES!B:B,0)),"")</f>
        <v/>
      </c>
      <c r="Q528" s="71" t="str">
        <f>IFERROR(INDEX(RECICLADORES!O:O,MATCH(D528,RECICLADORES!B:B,0)),"")</f>
        <v/>
      </c>
      <c r="R528" s="65"/>
      <c r="S528" s="65"/>
      <c r="T528" s="71"/>
      <c r="U528" s="71"/>
      <c r="V528" s="86"/>
    </row>
    <row r="529" spans="1:22" ht="16.5" thickTop="1" thickBot="1" x14ac:dyDescent="0.3">
      <c r="A529" s="34"/>
      <c r="C529" s="13"/>
      <c r="I529" s="23"/>
      <c r="J529" s="29" t="str">
        <f t="shared" si="6"/>
        <v/>
      </c>
      <c r="L529" s="71"/>
      <c r="M529" s="71"/>
      <c r="N529" s="71"/>
      <c r="O529" s="71"/>
      <c r="P529" s="71" t="str">
        <f>IFERROR(INDEX(RECICLADORES!C:C,MATCH(D529,RECICLADORES!B:B,0)),"")</f>
        <v/>
      </c>
      <c r="Q529" s="71" t="str">
        <f>IFERROR(INDEX(RECICLADORES!O:O,MATCH(D529,RECICLADORES!B:B,0)),"")</f>
        <v/>
      </c>
      <c r="R529" s="65"/>
      <c r="S529" s="65"/>
      <c r="T529" s="71"/>
      <c r="U529" s="71"/>
      <c r="V529" s="86"/>
    </row>
    <row r="530" spans="1:22" ht="16.5" thickTop="1" thickBot="1" x14ac:dyDescent="0.3">
      <c r="A530" s="35"/>
      <c r="C530" s="13"/>
      <c r="I530" s="23"/>
      <c r="J530" s="29" t="str">
        <f t="shared" si="6"/>
        <v/>
      </c>
      <c r="L530" s="71"/>
      <c r="M530" s="71"/>
      <c r="N530" s="71"/>
      <c r="O530" s="71"/>
      <c r="P530" s="71" t="str">
        <f>IFERROR(INDEX(RECICLADORES!C:C,MATCH(D530,RECICLADORES!B:B,0)),"")</f>
        <v/>
      </c>
      <c r="Q530" s="71" t="str">
        <f>IFERROR(INDEX(RECICLADORES!O:O,MATCH(D530,RECICLADORES!B:B,0)),"")</f>
        <v/>
      </c>
      <c r="R530" s="65"/>
      <c r="S530" s="65"/>
      <c r="T530" s="71"/>
      <c r="U530" s="71"/>
      <c r="V530" s="86"/>
    </row>
    <row r="531" spans="1:22" ht="16.5" thickTop="1" thickBot="1" x14ac:dyDescent="0.3">
      <c r="A531" s="34"/>
      <c r="C531" s="13"/>
      <c r="I531" s="23"/>
      <c r="J531" s="29" t="str">
        <f t="shared" si="6"/>
        <v/>
      </c>
      <c r="L531" s="71"/>
      <c r="M531" s="71"/>
      <c r="N531" s="71"/>
      <c r="O531" s="71"/>
      <c r="P531" s="71" t="str">
        <f>IFERROR(INDEX(RECICLADORES!C:C,MATCH(D531,RECICLADORES!B:B,0)),"")</f>
        <v/>
      </c>
      <c r="Q531" s="71" t="str">
        <f>IFERROR(INDEX(RECICLADORES!O:O,MATCH(D531,RECICLADORES!B:B,0)),"")</f>
        <v/>
      </c>
      <c r="R531" s="65"/>
      <c r="S531" s="65"/>
      <c r="T531" s="71"/>
      <c r="U531" s="71"/>
      <c r="V531" s="86"/>
    </row>
    <row r="532" spans="1:22" ht="16.5" thickTop="1" thickBot="1" x14ac:dyDescent="0.3">
      <c r="A532" s="35"/>
      <c r="C532" s="13"/>
      <c r="I532" s="23"/>
      <c r="J532" s="29" t="str">
        <f t="shared" si="6"/>
        <v/>
      </c>
      <c r="L532" s="71"/>
      <c r="M532" s="71"/>
      <c r="N532" s="71"/>
      <c r="O532" s="71"/>
      <c r="P532" s="71" t="str">
        <f>IFERROR(INDEX(RECICLADORES!C:C,MATCH(D532,RECICLADORES!B:B,0)),"")</f>
        <v/>
      </c>
      <c r="Q532" s="71" t="str">
        <f>IFERROR(INDEX(RECICLADORES!O:O,MATCH(D532,RECICLADORES!B:B,0)),"")</f>
        <v/>
      </c>
      <c r="R532" s="65"/>
      <c r="S532" s="65"/>
      <c r="T532" s="71"/>
      <c r="U532" s="71"/>
      <c r="V532" s="86"/>
    </row>
    <row r="533" spans="1:22" ht="16.5" thickTop="1" thickBot="1" x14ac:dyDescent="0.3">
      <c r="A533" s="34"/>
      <c r="C533" s="13"/>
      <c r="I533" s="23"/>
      <c r="J533" s="29" t="str">
        <f t="shared" si="6"/>
        <v/>
      </c>
      <c r="L533" s="71"/>
      <c r="M533" s="71"/>
      <c r="N533" s="71"/>
      <c r="O533" s="71"/>
      <c r="P533" s="71" t="str">
        <f>IFERROR(INDEX(RECICLADORES!C:C,MATCH(D533,RECICLADORES!B:B,0)),"")</f>
        <v/>
      </c>
      <c r="Q533" s="71" t="str">
        <f>IFERROR(INDEX(RECICLADORES!O:O,MATCH(D533,RECICLADORES!B:B,0)),"")</f>
        <v/>
      </c>
      <c r="R533" s="65"/>
      <c r="S533" s="65"/>
      <c r="T533" s="71"/>
      <c r="U533" s="71"/>
      <c r="V533" s="86"/>
    </row>
    <row r="534" spans="1:22" ht="16.5" thickTop="1" thickBot="1" x14ac:dyDescent="0.3">
      <c r="A534" s="35"/>
      <c r="C534" s="13"/>
      <c r="I534" s="23"/>
      <c r="J534" s="29" t="str">
        <f t="shared" si="6"/>
        <v/>
      </c>
      <c r="L534" s="71"/>
      <c r="M534" s="71"/>
      <c r="N534" s="71"/>
      <c r="O534" s="71"/>
      <c r="P534" s="71" t="str">
        <f>IFERROR(INDEX(RECICLADORES!C:C,MATCH(D534,RECICLADORES!B:B,0)),"")</f>
        <v/>
      </c>
      <c r="Q534" s="71" t="str">
        <f>IFERROR(INDEX(RECICLADORES!O:O,MATCH(D534,RECICLADORES!B:B,0)),"")</f>
        <v/>
      </c>
      <c r="R534" s="65"/>
      <c r="S534" s="65"/>
      <c r="T534" s="71"/>
      <c r="U534" s="71"/>
      <c r="V534" s="86"/>
    </row>
    <row r="535" spans="1:22" ht="16.5" thickTop="1" thickBot="1" x14ac:dyDescent="0.3">
      <c r="A535" s="34"/>
      <c r="C535" s="13"/>
      <c r="I535" s="23"/>
      <c r="J535" s="29" t="str">
        <f t="shared" si="6"/>
        <v/>
      </c>
      <c r="L535" s="71"/>
      <c r="M535" s="71"/>
      <c r="N535" s="71"/>
      <c r="O535" s="71"/>
      <c r="P535" s="71" t="str">
        <f>IFERROR(INDEX(RECICLADORES!C:C,MATCH(D535,RECICLADORES!B:B,0)),"")</f>
        <v/>
      </c>
      <c r="Q535" s="71" t="str">
        <f>IFERROR(INDEX(RECICLADORES!O:O,MATCH(D535,RECICLADORES!B:B,0)),"")</f>
        <v/>
      </c>
      <c r="R535" s="65"/>
      <c r="S535" s="65"/>
      <c r="T535" s="71"/>
      <c r="U535" s="71"/>
      <c r="V535" s="86"/>
    </row>
    <row r="536" spans="1:22" ht="16.5" thickTop="1" thickBot="1" x14ac:dyDescent="0.3">
      <c r="A536" s="35"/>
      <c r="C536" s="13"/>
      <c r="I536" s="23"/>
      <c r="J536" s="29" t="str">
        <f t="shared" si="6"/>
        <v/>
      </c>
      <c r="L536" s="71"/>
      <c r="M536" s="71"/>
      <c r="N536" s="71"/>
      <c r="O536" s="71"/>
      <c r="P536" s="71" t="str">
        <f>IFERROR(INDEX(RECICLADORES!C:C,MATCH(D536,RECICLADORES!B:B,0)),"")</f>
        <v/>
      </c>
      <c r="Q536" s="71" t="str">
        <f>IFERROR(INDEX(RECICLADORES!O:O,MATCH(D536,RECICLADORES!B:B,0)),"")</f>
        <v/>
      </c>
      <c r="R536" s="65"/>
      <c r="S536" s="65"/>
      <c r="T536" s="71"/>
      <c r="U536" s="71"/>
      <c r="V536" s="86"/>
    </row>
    <row r="537" spans="1:22" ht="16.5" thickTop="1" thickBot="1" x14ac:dyDescent="0.3">
      <c r="A537" s="34"/>
      <c r="C537" s="13"/>
      <c r="I537" s="23"/>
      <c r="J537" s="29" t="str">
        <f t="shared" si="6"/>
        <v/>
      </c>
      <c r="L537" s="71"/>
      <c r="M537" s="71"/>
      <c r="N537" s="71"/>
      <c r="O537" s="71"/>
      <c r="P537" s="71" t="str">
        <f>IFERROR(INDEX(RECICLADORES!C:C,MATCH(D537,RECICLADORES!B:B,0)),"")</f>
        <v/>
      </c>
      <c r="Q537" s="71" t="str">
        <f>IFERROR(INDEX(RECICLADORES!O:O,MATCH(D537,RECICLADORES!B:B,0)),"")</f>
        <v/>
      </c>
      <c r="R537" s="65"/>
      <c r="S537" s="65"/>
      <c r="T537" s="71"/>
      <c r="U537" s="71"/>
      <c r="V537" s="86"/>
    </row>
    <row r="538" spans="1:22" ht="16.5" thickTop="1" thickBot="1" x14ac:dyDescent="0.3">
      <c r="A538" s="35"/>
      <c r="C538" s="13"/>
      <c r="I538" s="23"/>
      <c r="J538" s="29" t="str">
        <f t="shared" si="6"/>
        <v/>
      </c>
      <c r="L538" s="71"/>
      <c r="M538" s="71"/>
      <c r="N538" s="71"/>
      <c r="O538" s="71"/>
      <c r="P538" s="71" t="str">
        <f>IFERROR(INDEX(RECICLADORES!C:C,MATCH(D538,RECICLADORES!B:B,0)),"")</f>
        <v/>
      </c>
      <c r="Q538" s="71" t="str">
        <f>IFERROR(INDEX(RECICLADORES!O:O,MATCH(D538,RECICLADORES!B:B,0)),"")</f>
        <v/>
      </c>
      <c r="R538" s="65"/>
      <c r="S538" s="65"/>
      <c r="T538" s="71"/>
      <c r="U538" s="71"/>
      <c r="V538" s="86"/>
    </row>
    <row r="539" spans="1:22" ht="16.5" thickTop="1" thickBot="1" x14ac:dyDescent="0.3">
      <c r="A539" s="34"/>
      <c r="C539" s="13"/>
      <c r="I539" s="23"/>
      <c r="J539" s="29" t="str">
        <f t="shared" si="6"/>
        <v/>
      </c>
      <c r="L539" s="71"/>
      <c r="M539" s="71"/>
      <c r="N539" s="71"/>
      <c r="O539" s="71"/>
      <c r="P539" s="71" t="str">
        <f>IFERROR(INDEX(RECICLADORES!C:C,MATCH(D539,RECICLADORES!B:B,0)),"")</f>
        <v/>
      </c>
      <c r="Q539" s="71" t="str">
        <f>IFERROR(INDEX(RECICLADORES!O:O,MATCH(D539,RECICLADORES!B:B,0)),"")</f>
        <v/>
      </c>
      <c r="R539" s="65"/>
      <c r="S539" s="65"/>
      <c r="T539" s="71"/>
      <c r="U539" s="71"/>
      <c r="V539" s="86"/>
    </row>
    <row r="540" spans="1:22" ht="16.5" thickTop="1" thickBot="1" x14ac:dyDescent="0.3">
      <c r="A540" s="35"/>
      <c r="C540" s="13"/>
      <c r="I540" s="23"/>
      <c r="J540" s="29" t="str">
        <f t="shared" si="6"/>
        <v/>
      </c>
      <c r="L540" s="71"/>
      <c r="M540" s="71"/>
      <c r="N540" s="71"/>
      <c r="O540" s="71"/>
      <c r="P540" s="71" t="str">
        <f>IFERROR(INDEX(RECICLADORES!C:C,MATCH(D540,RECICLADORES!B:B,0)),"")</f>
        <v/>
      </c>
      <c r="Q540" s="71" t="str">
        <f>IFERROR(INDEX(RECICLADORES!O:O,MATCH(D540,RECICLADORES!B:B,0)),"")</f>
        <v/>
      </c>
      <c r="R540" s="65"/>
      <c r="S540" s="65"/>
      <c r="T540" s="71"/>
      <c r="U540" s="71"/>
      <c r="V540" s="86"/>
    </row>
    <row r="541" spans="1:22" ht="16.5" thickTop="1" thickBot="1" x14ac:dyDescent="0.3">
      <c r="A541" s="35"/>
      <c r="C541" s="13"/>
      <c r="I541" s="23"/>
      <c r="J541" s="29" t="str">
        <f t="shared" si="6"/>
        <v/>
      </c>
      <c r="L541" s="71"/>
      <c r="M541" s="71"/>
      <c r="N541" s="71"/>
      <c r="O541" s="71"/>
      <c r="P541" s="71" t="str">
        <f>IFERROR(INDEX(RECICLADORES!C:C,MATCH(D541,RECICLADORES!B:B,0)),"")</f>
        <v/>
      </c>
      <c r="Q541" s="71" t="str">
        <f>IFERROR(INDEX(RECICLADORES!O:O,MATCH(D541,RECICLADORES!B:B,0)),"")</f>
        <v/>
      </c>
      <c r="R541" s="65"/>
      <c r="S541" s="65"/>
      <c r="T541" s="71"/>
      <c r="U541" s="71"/>
      <c r="V541" s="86"/>
    </row>
    <row r="542" spans="1:22" ht="16.5" thickTop="1" thickBot="1" x14ac:dyDescent="0.3">
      <c r="A542" s="34"/>
      <c r="C542" s="13"/>
      <c r="I542" s="23"/>
      <c r="J542" s="29" t="str">
        <f t="shared" si="6"/>
        <v/>
      </c>
      <c r="L542" s="71"/>
      <c r="M542" s="71"/>
      <c r="N542" s="71"/>
      <c r="O542" s="71"/>
      <c r="P542" s="71" t="str">
        <f>IFERROR(INDEX(RECICLADORES!C:C,MATCH(D542,RECICLADORES!B:B,0)),"")</f>
        <v/>
      </c>
      <c r="Q542" s="71" t="str">
        <f>IFERROR(INDEX(RECICLADORES!O:O,MATCH(D542,RECICLADORES!B:B,0)),"")</f>
        <v/>
      </c>
      <c r="R542" s="65"/>
      <c r="S542" s="65"/>
      <c r="T542" s="71"/>
      <c r="U542" s="71"/>
      <c r="V542" s="86"/>
    </row>
    <row r="543" spans="1:22" ht="16.5" thickTop="1" thickBot="1" x14ac:dyDescent="0.3">
      <c r="A543" s="35"/>
      <c r="C543" s="13"/>
      <c r="I543" s="23"/>
      <c r="J543" s="29" t="str">
        <f t="shared" si="6"/>
        <v/>
      </c>
      <c r="L543" s="71"/>
      <c r="M543" s="71"/>
      <c r="N543" s="71"/>
      <c r="O543" s="71"/>
      <c r="P543" s="71" t="str">
        <f>IFERROR(INDEX(RECICLADORES!C:C,MATCH(D543,RECICLADORES!B:B,0)),"")</f>
        <v/>
      </c>
      <c r="Q543" s="71" t="str">
        <f>IFERROR(INDEX(RECICLADORES!O:O,MATCH(D543,RECICLADORES!B:B,0)),"")</f>
        <v/>
      </c>
      <c r="R543" s="65"/>
      <c r="S543" s="65"/>
      <c r="T543" s="71"/>
      <c r="U543" s="71"/>
      <c r="V543" s="86"/>
    </row>
    <row r="544" spans="1:22" ht="16.5" thickTop="1" thickBot="1" x14ac:dyDescent="0.3">
      <c r="A544" s="34"/>
      <c r="C544" s="13"/>
      <c r="I544" s="23"/>
      <c r="J544" s="29" t="str">
        <f t="shared" si="6"/>
        <v/>
      </c>
      <c r="L544" s="71"/>
      <c r="M544" s="71"/>
      <c r="N544" s="71"/>
      <c r="O544" s="71"/>
      <c r="P544" s="71" t="str">
        <f>IFERROR(INDEX(RECICLADORES!C:C,MATCH(D544,RECICLADORES!B:B,0)),"")</f>
        <v/>
      </c>
      <c r="Q544" s="71" t="str">
        <f>IFERROR(INDEX(RECICLADORES!O:O,MATCH(D544,RECICLADORES!B:B,0)),"")</f>
        <v/>
      </c>
      <c r="R544" s="65"/>
      <c r="S544" s="65"/>
      <c r="T544" s="71"/>
      <c r="U544" s="71"/>
      <c r="V544" s="86"/>
    </row>
    <row r="545" spans="1:22" ht="16.5" thickTop="1" thickBot="1" x14ac:dyDescent="0.3">
      <c r="A545" s="35"/>
      <c r="C545" s="13"/>
      <c r="I545" s="23"/>
      <c r="J545" s="29" t="str">
        <f t="shared" si="6"/>
        <v/>
      </c>
      <c r="L545" s="71"/>
      <c r="M545" s="71"/>
      <c r="N545" s="71"/>
      <c r="O545" s="71"/>
      <c r="P545" s="71" t="str">
        <f>IFERROR(INDEX(RECICLADORES!C:C,MATCH(D545,RECICLADORES!B:B,0)),"")</f>
        <v/>
      </c>
      <c r="Q545" s="71" t="str">
        <f>IFERROR(INDEX(RECICLADORES!O:O,MATCH(D545,RECICLADORES!B:B,0)),"")</f>
        <v/>
      </c>
      <c r="R545" s="65"/>
      <c r="S545" s="65"/>
      <c r="T545" s="71"/>
      <c r="U545" s="71"/>
      <c r="V545" s="86"/>
    </row>
    <row r="546" spans="1:22" ht="16.5" thickTop="1" thickBot="1" x14ac:dyDescent="0.3">
      <c r="A546" s="34"/>
      <c r="C546" s="13"/>
      <c r="I546" s="23"/>
      <c r="J546" s="29" t="str">
        <f t="shared" si="6"/>
        <v/>
      </c>
      <c r="L546" s="71"/>
      <c r="M546" s="71"/>
      <c r="N546" s="71"/>
      <c r="O546" s="71"/>
      <c r="P546" s="71" t="str">
        <f>IFERROR(INDEX(RECICLADORES!C:C,MATCH(D546,RECICLADORES!B:B,0)),"")</f>
        <v/>
      </c>
      <c r="Q546" s="71" t="str">
        <f>IFERROR(INDEX(RECICLADORES!O:O,MATCH(D546,RECICLADORES!B:B,0)),"")</f>
        <v/>
      </c>
      <c r="R546" s="65"/>
      <c r="S546" s="65"/>
      <c r="T546" s="71"/>
      <c r="U546" s="71"/>
      <c r="V546" s="86"/>
    </row>
    <row r="547" spans="1:22" ht="16.5" thickTop="1" thickBot="1" x14ac:dyDescent="0.3">
      <c r="A547" s="35"/>
      <c r="C547" s="13"/>
      <c r="I547" s="23"/>
      <c r="J547" s="29" t="str">
        <f t="shared" si="6"/>
        <v/>
      </c>
      <c r="L547" s="71"/>
      <c r="M547" s="71"/>
      <c r="N547" s="71"/>
      <c r="O547" s="71"/>
      <c r="P547" s="71" t="str">
        <f>IFERROR(INDEX(RECICLADORES!C:C,MATCH(D547,RECICLADORES!B:B,0)),"")</f>
        <v/>
      </c>
      <c r="Q547" s="71" t="str">
        <f>IFERROR(INDEX(RECICLADORES!O:O,MATCH(D547,RECICLADORES!B:B,0)),"")</f>
        <v/>
      </c>
      <c r="R547" s="65"/>
      <c r="S547" s="65"/>
      <c r="T547" s="71"/>
      <c r="U547" s="71"/>
      <c r="V547" s="86"/>
    </row>
    <row r="548" spans="1:22" ht="16.5" thickTop="1" thickBot="1" x14ac:dyDescent="0.3">
      <c r="A548" s="34"/>
      <c r="C548" s="13"/>
      <c r="I548" s="23"/>
      <c r="J548" s="29" t="str">
        <f t="shared" si="6"/>
        <v/>
      </c>
      <c r="L548" s="71"/>
      <c r="M548" s="71"/>
      <c r="N548" s="71"/>
      <c r="O548" s="71"/>
      <c r="P548" s="71" t="str">
        <f>IFERROR(INDEX(RECICLADORES!C:C,MATCH(D548,RECICLADORES!B:B,0)),"")</f>
        <v/>
      </c>
      <c r="Q548" s="71" t="str">
        <f>IFERROR(INDEX(RECICLADORES!O:O,MATCH(D548,RECICLADORES!B:B,0)),"")</f>
        <v/>
      </c>
      <c r="R548" s="65"/>
      <c r="S548" s="65"/>
      <c r="T548" s="71"/>
      <c r="U548" s="71"/>
      <c r="V548" s="86"/>
    </row>
    <row r="549" spans="1:22" ht="16.5" thickTop="1" thickBot="1" x14ac:dyDescent="0.3">
      <c r="A549" s="35"/>
      <c r="C549" s="13"/>
      <c r="I549" s="23"/>
      <c r="J549" s="29" t="str">
        <f t="shared" si="6"/>
        <v/>
      </c>
      <c r="L549" s="71"/>
      <c r="M549" s="71"/>
      <c r="N549" s="71"/>
      <c r="O549" s="71"/>
      <c r="P549" s="71" t="str">
        <f>IFERROR(INDEX(RECICLADORES!C:C,MATCH(D549,RECICLADORES!B:B,0)),"")</f>
        <v/>
      </c>
      <c r="Q549" s="71" t="str">
        <f>IFERROR(INDEX(RECICLADORES!O:O,MATCH(D549,RECICLADORES!B:B,0)),"")</f>
        <v/>
      </c>
      <c r="R549" s="65"/>
      <c r="S549" s="65"/>
      <c r="T549" s="71"/>
      <c r="U549" s="71"/>
      <c r="V549" s="86"/>
    </row>
    <row r="550" spans="1:22" ht="16.5" thickTop="1" thickBot="1" x14ac:dyDescent="0.3">
      <c r="A550" s="34"/>
      <c r="C550" s="13"/>
      <c r="I550" s="23"/>
      <c r="J550" s="29" t="str">
        <f t="shared" si="6"/>
        <v/>
      </c>
      <c r="L550" s="71"/>
      <c r="M550" s="71"/>
      <c r="N550" s="71"/>
      <c r="O550" s="71"/>
      <c r="P550" s="71" t="str">
        <f>IFERROR(INDEX(RECICLADORES!C:C,MATCH(D550,RECICLADORES!B:B,0)),"")</f>
        <v/>
      </c>
      <c r="Q550" s="71" t="str">
        <f>IFERROR(INDEX(RECICLADORES!O:O,MATCH(D550,RECICLADORES!B:B,0)),"")</f>
        <v/>
      </c>
      <c r="R550" s="65"/>
      <c r="S550" s="65"/>
      <c r="T550" s="71"/>
      <c r="U550" s="71"/>
      <c r="V550" s="86"/>
    </row>
    <row r="551" spans="1:22" ht="16.5" thickTop="1" thickBot="1" x14ac:dyDescent="0.3">
      <c r="A551" s="35"/>
      <c r="C551" s="13"/>
      <c r="I551" s="23"/>
      <c r="J551" s="29" t="str">
        <f t="shared" si="6"/>
        <v/>
      </c>
      <c r="L551" s="71"/>
      <c r="M551" s="71"/>
      <c r="N551" s="71"/>
      <c r="O551" s="71"/>
      <c r="P551" s="71" t="str">
        <f>IFERROR(INDEX(RECICLADORES!C:C,MATCH(D551,RECICLADORES!B:B,0)),"")</f>
        <v/>
      </c>
      <c r="Q551" s="71" t="str">
        <f>IFERROR(INDEX(RECICLADORES!O:O,MATCH(D551,RECICLADORES!B:B,0)),"")</f>
        <v/>
      </c>
      <c r="R551" s="65"/>
      <c r="S551" s="65"/>
      <c r="T551" s="71"/>
      <c r="U551" s="71"/>
      <c r="V551" s="86"/>
    </row>
    <row r="552" spans="1:22" ht="16.5" thickTop="1" thickBot="1" x14ac:dyDescent="0.3">
      <c r="A552" s="34"/>
      <c r="C552" s="13"/>
      <c r="I552" s="23"/>
      <c r="J552" s="29" t="str">
        <f t="shared" si="6"/>
        <v/>
      </c>
      <c r="L552" s="71"/>
      <c r="M552" s="71"/>
      <c r="N552" s="71"/>
      <c r="O552" s="71"/>
      <c r="P552" s="71" t="str">
        <f>IFERROR(INDEX(RECICLADORES!C:C,MATCH(D552,RECICLADORES!B:B,0)),"")</f>
        <v/>
      </c>
      <c r="Q552" s="71" t="str">
        <f>IFERROR(INDEX(RECICLADORES!O:O,MATCH(D552,RECICLADORES!B:B,0)),"")</f>
        <v/>
      </c>
      <c r="R552" s="65"/>
      <c r="S552" s="65"/>
      <c r="T552" s="71"/>
      <c r="U552" s="71"/>
      <c r="V552" s="86"/>
    </row>
    <row r="553" spans="1:22" ht="16.5" thickTop="1" thickBot="1" x14ac:dyDescent="0.3">
      <c r="A553" s="35"/>
      <c r="C553" s="13"/>
      <c r="I553" s="23"/>
      <c r="J553" s="29" t="str">
        <f t="shared" si="6"/>
        <v/>
      </c>
      <c r="L553" s="71"/>
      <c r="M553" s="71"/>
      <c r="N553" s="71"/>
      <c r="O553" s="71"/>
      <c r="P553" s="71" t="str">
        <f>IFERROR(INDEX(RECICLADORES!C:C,MATCH(D553,RECICLADORES!B:B,0)),"")</f>
        <v/>
      </c>
      <c r="Q553" s="71" t="str">
        <f>IFERROR(INDEX(RECICLADORES!O:O,MATCH(D553,RECICLADORES!B:B,0)),"")</f>
        <v/>
      </c>
      <c r="R553" s="65"/>
      <c r="S553" s="65"/>
      <c r="T553" s="71"/>
      <c r="U553" s="71"/>
      <c r="V553" s="86"/>
    </row>
    <row r="554" spans="1:22" ht="16.5" thickTop="1" thickBot="1" x14ac:dyDescent="0.3">
      <c r="A554" s="34"/>
      <c r="C554" s="13"/>
      <c r="I554" s="23"/>
      <c r="J554" s="29" t="str">
        <f t="shared" si="6"/>
        <v/>
      </c>
      <c r="L554" s="71"/>
      <c r="M554" s="71"/>
      <c r="N554" s="71"/>
      <c r="O554" s="71"/>
      <c r="P554" s="71" t="str">
        <f>IFERROR(INDEX(RECICLADORES!C:C,MATCH(D554,RECICLADORES!B:B,0)),"")</f>
        <v/>
      </c>
      <c r="Q554" s="71" t="str">
        <f>IFERROR(INDEX(RECICLADORES!O:O,MATCH(D554,RECICLADORES!B:B,0)),"")</f>
        <v/>
      </c>
      <c r="R554" s="65"/>
      <c r="S554" s="65"/>
      <c r="T554" s="71"/>
      <c r="U554" s="71"/>
      <c r="V554" s="86"/>
    </row>
    <row r="555" spans="1:22" ht="16.5" thickTop="1" thickBot="1" x14ac:dyDescent="0.3">
      <c r="A555" s="35"/>
      <c r="C555" s="13"/>
      <c r="I555" s="23"/>
      <c r="J555" s="29" t="str">
        <f t="shared" ref="J555:J618" si="7">IF(C555="","",INT((DAY(C555)-1)/7)+1)</f>
        <v/>
      </c>
      <c r="L555" s="71"/>
      <c r="M555" s="71"/>
      <c r="N555" s="71"/>
      <c r="O555" s="71"/>
      <c r="P555" s="71" t="str">
        <f>IFERROR(INDEX(RECICLADORES!C:C,MATCH(D555,RECICLADORES!B:B,0)),"")</f>
        <v/>
      </c>
      <c r="Q555" s="71" t="str">
        <f>IFERROR(INDEX(RECICLADORES!O:O,MATCH(D555,RECICLADORES!B:B,0)),"")</f>
        <v/>
      </c>
      <c r="R555" s="65"/>
      <c r="S555" s="65"/>
      <c r="T555" s="71"/>
      <c r="U555" s="71"/>
      <c r="V555" s="86"/>
    </row>
    <row r="556" spans="1:22" ht="16.5" thickTop="1" thickBot="1" x14ac:dyDescent="0.3">
      <c r="A556" s="34"/>
      <c r="C556" s="13"/>
      <c r="I556" s="23"/>
      <c r="J556" s="29" t="str">
        <f t="shared" si="7"/>
        <v/>
      </c>
      <c r="L556" s="71"/>
      <c r="M556" s="71"/>
      <c r="N556" s="71"/>
      <c r="O556" s="71"/>
      <c r="P556" s="71" t="str">
        <f>IFERROR(INDEX(RECICLADORES!C:C,MATCH(D556,RECICLADORES!B:B,0)),"")</f>
        <v/>
      </c>
      <c r="Q556" s="71" t="str">
        <f>IFERROR(INDEX(RECICLADORES!O:O,MATCH(D556,RECICLADORES!B:B,0)),"")</f>
        <v/>
      </c>
      <c r="R556" s="65"/>
      <c r="S556" s="65"/>
      <c r="T556" s="71"/>
      <c r="U556" s="71"/>
      <c r="V556" s="86"/>
    </row>
    <row r="557" spans="1:22" ht="16.5" thickTop="1" thickBot="1" x14ac:dyDescent="0.3">
      <c r="A557" s="35"/>
      <c r="C557" s="13"/>
      <c r="I557" s="23"/>
      <c r="J557" s="29" t="str">
        <f t="shared" si="7"/>
        <v/>
      </c>
      <c r="L557" s="71"/>
      <c r="M557" s="71"/>
      <c r="N557" s="71"/>
      <c r="O557" s="71"/>
      <c r="P557" s="71" t="str">
        <f>IFERROR(INDEX(RECICLADORES!C:C,MATCH(D557,RECICLADORES!B:B,0)),"")</f>
        <v/>
      </c>
      <c r="Q557" s="71" t="str">
        <f>IFERROR(INDEX(RECICLADORES!O:O,MATCH(D557,RECICLADORES!B:B,0)),"")</f>
        <v/>
      </c>
      <c r="R557" s="65"/>
      <c r="S557" s="65"/>
      <c r="T557" s="71"/>
      <c r="U557" s="71"/>
      <c r="V557" s="86"/>
    </row>
    <row r="558" spans="1:22" ht="16.5" thickTop="1" thickBot="1" x14ac:dyDescent="0.3">
      <c r="A558" s="34"/>
      <c r="C558" s="13"/>
      <c r="I558" s="23"/>
      <c r="J558" s="29" t="str">
        <f t="shared" si="7"/>
        <v/>
      </c>
      <c r="L558" s="71"/>
      <c r="M558" s="71"/>
      <c r="N558" s="71"/>
      <c r="O558" s="71"/>
      <c r="P558" s="71" t="str">
        <f>IFERROR(INDEX(RECICLADORES!C:C,MATCH(D558,RECICLADORES!B:B,0)),"")</f>
        <v/>
      </c>
      <c r="Q558" s="71" t="str">
        <f>IFERROR(INDEX(RECICLADORES!O:O,MATCH(D558,RECICLADORES!B:B,0)),"")</f>
        <v/>
      </c>
      <c r="R558" s="65"/>
      <c r="S558" s="65"/>
      <c r="T558" s="71"/>
      <c r="U558" s="71"/>
      <c r="V558" s="86"/>
    </row>
    <row r="559" spans="1:22" ht="16.5" thickTop="1" thickBot="1" x14ac:dyDescent="0.3">
      <c r="A559" s="35"/>
      <c r="C559" s="13"/>
      <c r="I559" s="23"/>
      <c r="J559" s="29" t="str">
        <f t="shared" si="7"/>
        <v/>
      </c>
      <c r="L559" s="71"/>
      <c r="M559" s="71"/>
      <c r="N559" s="71"/>
      <c r="O559" s="71"/>
      <c r="P559" s="71" t="str">
        <f>IFERROR(INDEX(RECICLADORES!C:C,MATCH(D559,RECICLADORES!B:B,0)),"")</f>
        <v/>
      </c>
      <c r="Q559" s="71" t="str">
        <f>IFERROR(INDEX(RECICLADORES!O:O,MATCH(D559,RECICLADORES!B:B,0)),"")</f>
        <v/>
      </c>
      <c r="R559" s="65"/>
      <c r="S559" s="65"/>
      <c r="T559" s="71"/>
      <c r="U559" s="71"/>
      <c r="V559" s="86"/>
    </row>
    <row r="560" spans="1:22" ht="16.5" thickTop="1" thickBot="1" x14ac:dyDescent="0.3">
      <c r="A560" s="34"/>
      <c r="C560" s="13"/>
      <c r="I560" s="23"/>
      <c r="J560" s="29" t="str">
        <f t="shared" si="7"/>
        <v/>
      </c>
      <c r="L560" s="71"/>
      <c r="M560" s="71"/>
      <c r="N560" s="71"/>
      <c r="O560" s="71"/>
      <c r="P560" s="71" t="str">
        <f>IFERROR(INDEX(RECICLADORES!C:C,MATCH(D560,RECICLADORES!B:B,0)),"")</f>
        <v/>
      </c>
      <c r="Q560" s="71" t="str">
        <f>IFERROR(INDEX(RECICLADORES!O:O,MATCH(D560,RECICLADORES!B:B,0)),"")</f>
        <v/>
      </c>
      <c r="R560" s="65"/>
      <c r="S560" s="65"/>
      <c r="T560" s="71"/>
      <c r="U560" s="71"/>
      <c r="V560" s="86"/>
    </row>
    <row r="561" spans="1:22" ht="16.5" thickTop="1" thickBot="1" x14ac:dyDescent="0.3">
      <c r="A561" s="35"/>
      <c r="C561" s="13"/>
      <c r="I561" s="23"/>
      <c r="J561" s="29" t="str">
        <f t="shared" si="7"/>
        <v/>
      </c>
      <c r="L561" s="71"/>
      <c r="M561" s="71"/>
      <c r="N561" s="71"/>
      <c r="O561" s="71"/>
      <c r="P561" s="71" t="str">
        <f>IFERROR(INDEX(RECICLADORES!C:C,MATCH(D561,RECICLADORES!B:B,0)),"")</f>
        <v/>
      </c>
      <c r="Q561" s="71" t="str">
        <f>IFERROR(INDEX(RECICLADORES!O:O,MATCH(D561,RECICLADORES!B:B,0)),"")</f>
        <v/>
      </c>
      <c r="R561" s="65"/>
      <c r="S561" s="65"/>
      <c r="T561" s="71"/>
      <c r="U561" s="71"/>
      <c r="V561" s="86"/>
    </row>
    <row r="562" spans="1:22" ht="16.5" thickTop="1" thickBot="1" x14ac:dyDescent="0.3">
      <c r="A562" s="34"/>
      <c r="C562" s="13"/>
      <c r="I562" s="23"/>
      <c r="J562" s="29" t="str">
        <f t="shared" si="7"/>
        <v/>
      </c>
      <c r="L562" s="71"/>
      <c r="M562" s="71"/>
      <c r="N562" s="71"/>
      <c r="O562" s="71"/>
      <c r="P562" s="71" t="str">
        <f>IFERROR(INDEX(RECICLADORES!C:C,MATCH(D562,RECICLADORES!B:B,0)),"")</f>
        <v/>
      </c>
      <c r="Q562" s="71" t="str">
        <f>IFERROR(INDEX(RECICLADORES!O:O,MATCH(D562,RECICLADORES!B:B,0)),"")</f>
        <v/>
      </c>
      <c r="R562" s="65"/>
      <c r="S562" s="65"/>
      <c r="T562" s="71"/>
      <c r="U562" s="71"/>
      <c r="V562" s="86"/>
    </row>
    <row r="563" spans="1:22" ht="16.5" thickTop="1" thickBot="1" x14ac:dyDescent="0.3">
      <c r="A563" s="35"/>
      <c r="C563" s="13"/>
      <c r="I563" s="23"/>
      <c r="J563" s="29" t="str">
        <f t="shared" si="7"/>
        <v/>
      </c>
      <c r="L563" s="71"/>
      <c r="M563" s="71"/>
      <c r="N563" s="71"/>
      <c r="O563" s="71"/>
      <c r="P563" s="71" t="str">
        <f>IFERROR(INDEX(RECICLADORES!C:C,MATCH(D563,RECICLADORES!B:B,0)),"")</f>
        <v/>
      </c>
      <c r="Q563" s="71" t="str">
        <f>IFERROR(INDEX(RECICLADORES!O:O,MATCH(D563,RECICLADORES!B:B,0)),"")</f>
        <v/>
      </c>
      <c r="R563" s="65"/>
      <c r="S563" s="65"/>
      <c r="T563" s="71"/>
      <c r="U563" s="71"/>
      <c r="V563" s="86"/>
    </row>
    <row r="564" spans="1:22" ht="16.5" thickTop="1" thickBot="1" x14ac:dyDescent="0.3">
      <c r="A564" s="34"/>
      <c r="C564" s="13"/>
      <c r="I564" s="23"/>
      <c r="J564" s="29" t="str">
        <f t="shared" si="7"/>
        <v/>
      </c>
      <c r="L564" s="71"/>
      <c r="M564" s="71"/>
      <c r="N564" s="71"/>
      <c r="O564" s="71"/>
      <c r="P564" s="71" t="str">
        <f>IFERROR(INDEX(RECICLADORES!C:C,MATCH(D564,RECICLADORES!B:B,0)),"")</f>
        <v/>
      </c>
      <c r="Q564" s="71" t="str">
        <f>IFERROR(INDEX(RECICLADORES!O:O,MATCH(D564,RECICLADORES!B:B,0)),"")</f>
        <v/>
      </c>
      <c r="R564" s="65"/>
      <c r="S564" s="65"/>
      <c r="T564" s="71"/>
      <c r="U564" s="71"/>
      <c r="V564" s="86"/>
    </row>
    <row r="565" spans="1:22" ht="16.5" thickTop="1" thickBot="1" x14ac:dyDescent="0.3">
      <c r="A565" s="35"/>
      <c r="C565" s="13"/>
      <c r="I565" s="23"/>
      <c r="J565" s="29" t="str">
        <f t="shared" si="7"/>
        <v/>
      </c>
      <c r="L565" s="71"/>
      <c r="M565" s="71"/>
      <c r="N565" s="71"/>
      <c r="O565" s="71"/>
      <c r="P565" s="71" t="str">
        <f>IFERROR(INDEX(RECICLADORES!C:C,MATCH(D565,RECICLADORES!B:B,0)),"")</f>
        <v/>
      </c>
      <c r="Q565" s="71" t="str">
        <f>IFERROR(INDEX(RECICLADORES!O:O,MATCH(D565,RECICLADORES!B:B,0)),"")</f>
        <v/>
      </c>
      <c r="R565" s="65"/>
      <c r="S565" s="65"/>
      <c r="T565" s="71"/>
      <c r="U565" s="71"/>
      <c r="V565" s="86"/>
    </row>
    <row r="566" spans="1:22" ht="16.5" thickTop="1" thickBot="1" x14ac:dyDescent="0.3">
      <c r="A566" s="34"/>
      <c r="C566" s="13"/>
      <c r="I566" s="23"/>
      <c r="J566" s="29" t="str">
        <f t="shared" si="7"/>
        <v/>
      </c>
      <c r="L566" s="71"/>
      <c r="M566" s="71"/>
      <c r="N566" s="71"/>
      <c r="O566" s="71"/>
      <c r="P566" s="71" t="str">
        <f>IFERROR(INDEX(RECICLADORES!C:C,MATCH(D566,RECICLADORES!B:B,0)),"")</f>
        <v/>
      </c>
      <c r="Q566" s="71" t="str">
        <f>IFERROR(INDEX(RECICLADORES!O:O,MATCH(D566,RECICLADORES!B:B,0)),"")</f>
        <v/>
      </c>
      <c r="R566" s="65"/>
      <c r="S566" s="65"/>
      <c r="T566" s="71"/>
      <c r="U566" s="71"/>
      <c r="V566" s="86"/>
    </row>
    <row r="567" spans="1:22" ht="16.5" thickTop="1" thickBot="1" x14ac:dyDescent="0.3">
      <c r="A567" s="35"/>
      <c r="C567" s="13"/>
      <c r="I567" s="23"/>
      <c r="J567" s="29" t="str">
        <f t="shared" si="7"/>
        <v/>
      </c>
      <c r="L567" s="71"/>
      <c r="M567" s="71"/>
      <c r="N567" s="71"/>
      <c r="O567" s="71"/>
      <c r="P567" s="71" t="str">
        <f>IFERROR(INDEX(RECICLADORES!C:C,MATCH(D567,RECICLADORES!B:B,0)),"")</f>
        <v/>
      </c>
      <c r="Q567" s="71" t="str">
        <f>IFERROR(INDEX(RECICLADORES!O:O,MATCH(D567,RECICLADORES!B:B,0)),"")</f>
        <v/>
      </c>
      <c r="R567" s="65"/>
      <c r="S567" s="65"/>
      <c r="T567" s="71"/>
      <c r="U567" s="71"/>
      <c r="V567" s="86"/>
    </row>
    <row r="568" spans="1:22" ht="16.5" thickTop="1" thickBot="1" x14ac:dyDescent="0.3">
      <c r="A568" s="34"/>
      <c r="C568" s="13"/>
      <c r="I568" s="23"/>
      <c r="J568" s="29" t="str">
        <f t="shared" si="7"/>
        <v/>
      </c>
      <c r="L568" s="71"/>
      <c r="M568" s="71"/>
      <c r="N568" s="71"/>
      <c r="O568" s="71"/>
      <c r="P568" s="71" t="str">
        <f>IFERROR(INDEX(RECICLADORES!C:C,MATCH(D568,RECICLADORES!B:B,0)),"")</f>
        <v/>
      </c>
      <c r="Q568" s="71" t="str">
        <f>IFERROR(INDEX(RECICLADORES!O:O,MATCH(D568,RECICLADORES!B:B,0)),"")</f>
        <v/>
      </c>
      <c r="R568" s="65"/>
      <c r="S568" s="65"/>
      <c r="T568" s="71"/>
      <c r="U568" s="71"/>
      <c r="V568" s="86"/>
    </row>
    <row r="569" spans="1:22" ht="16.5" thickTop="1" thickBot="1" x14ac:dyDescent="0.3">
      <c r="A569" s="35"/>
      <c r="C569" s="13"/>
      <c r="I569" s="23"/>
      <c r="J569" s="29" t="str">
        <f t="shared" si="7"/>
        <v/>
      </c>
      <c r="L569" s="71"/>
      <c r="M569" s="71"/>
      <c r="N569" s="71"/>
      <c r="O569" s="71"/>
      <c r="P569" s="71" t="str">
        <f>IFERROR(INDEX(RECICLADORES!C:C,MATCH(D569,RECICLADORES!B:B,0)),"")</f>
        <v/>
      </c>
      <c r="Q569" s="71" t="str">
        <f>IFERROR(INDEX(RECICLADORES!O:O,MATCH(D569,RECICLADORES!B:B,0)),"")</f>
        <v/>
      </c>
      <c r="R569" s="65"/>
      <c r="S569" s="65"/>
      <c r="T569" s="71"/>
      <c r="U569" s="71"/>
      <c r="V569" s="86"/>
    </row>
    <row r="570" spans="1:22" ht="16.5" thickTop="1" thickBot="1" x14ac:dyDescent="0.3">
      <c r="A570" s="35"/>
      <c r="C570" s="13"/>
      <c r="I570" s="23"/>
      <c r="J570" s="29" t="str">
        <f t="shared" si="7"/>
        <v/>
      </c>
      <c r="L570" s="71"/>
      <c r="M570" s="71"/>
      <c r="N570" s="71"/>
      <c r="O570" s="71"/>
      <c r="P570" s="71" t="str">
        <f>IFERROR(INDEX(RECICLADORES!C:C,MATCH(D570,RECICLADORES!B:B,0)),"")</f>
        <v/>
      </c>
      <c r="Q570" s="71" t="str">
        <f>IFERROR(INDEX(RECICLADORES!O:O,MATCH(D570,RECICLADORES!B:B,0)),"")</f>
        <v/>
      </c>
      <c r="R570" s="65"/>
      <c r="S570" s="65"/>
      <c r="T570" s="71"/>
      <c r="U570" s="71"/>
      <c r="V570" s="86"/>
    </row>
    <row r="571" spans="1:22" ht="16.5" thickTop="1" thickBot="1" x14ac:dyDescent="0.3">
      <c r="A571" s="34"/>
      <c r="C571" s="13"/>
      <c r="I571" s="23"/>
      <c r="J571" s="29" t="str">
        <f t="shared" si="7"/>
        <v/>
      </c>
      <c r="L571" s="71"/>
      <c r="M571" s="71"/>
      <c r="N571" s="71"/>
      <c r="O571" s="71"/>
      <c r="P571" s="71" t="str">
        <f>IFERROR(INDEX(RECICLADORES!C:C,MATCH(D571,RECICLADORES!B:B,0)),"")</f>
        <v/>
      </c>
      <c r="Q571" s="71" t="str">
        <f>IFERROR(INDEX(RECICLADORES!O:O,MATCH(D571,RECICLADORES!B:B,0)),"")</f>
        <v/>
      </c>
      <c r="R571" s="65"/>
      <c r="S571" s="65"/>
      <c r="T571" s="71"/>
      <c r="U571" s="71"/>
      <c r="V571" s="86"/>
    </row>
    <row r="572" spans="1:22" ht="16.5" thickTop="1" thickBot="1" x14ac:dyDescent="0.3">
      <c r="A572" s="35"/>
      <c r="C572" s="13"/>
      <c r="I572" s="23"/>
      <c r="J572" s="29" t="str">
        <f t="shared" si="7"/>
        <v/>
      </c>
      <c r="L572" s="71"/>
      <c r="M572" s="71"/>
      <c r="N572" s="71"/>
      <c r="O572" s="71"/>
      <c r="P572" s="71" t="str">
        <f>IFERROR(INDEX(RECICLADORES!C:C,MATCH(D572,RECICLADORES!B:B,0)),"")</f>
        <v/>
      </c>
      <c r="Q572" s="71" t="str">
        <f>IFERROR(INDEX(RECICLADORES!O:O,MATCH(D572,RECICLADORES!B:B,0)),"")</f>
        <v/>
      </c>
      <c r="R572" s="65"/>
      <c r="S572" s="65"/>
      <c r="T572" s="71"/>
      <c r="U572" s="71"/>
      <c r="V572" s="86"/>
    </row>
    <row r="573" spans="1:22" ht="16.5" thickTop="1" thickBot="1" x14ac:dyDescent="0.3">
      <c r="A573" s="34"/>
      <c r="C573" s="13"/>
      <c r="I573" s="23"/>
      <c r="J573" s="29" t="str">
        <f t="shared" si="7"/>
        <v/>
      </c>
      <c r="L573" s="71"/>
      <c r="M573" s="71"/>
      <c r="N573" s="71"/>
      <c r="O573" s="71"/>
      <c r="P573" s="71" t="str">
        <f>IFERROR(INDEX(RECICLADORES!C:C,MATCH(D573,RECICLADORES!B:B,0)),"")</f>
        <v/>
      </c>
      <c r="Q573" s="71" t="str">
        <f>IFERROR(INDEX(RECICLADORES!O:O,MATCH(D573,RECICLADORES!B:B,0)),"")</f>
        <v/>
      </c>
      <c r="R573" s="65"/>
      <c r="S573" s="65"/>
      <c r="T573" s="71"/>
      <c r="U573" s="71"/>
      <c r="V573" s="86"/>
    </row>
    <row r="574" spans="1:22" ht="16.5" thickTop="1" thickBot="1" x14ac:dyDescent="0.3">
      <c r="A574" s="35"/>
      <c r="C574" s="13"/>
      <c r="I574" s="23"/>
      <c r="J574" s="29" t="str">
        <f t="shared" si="7"/>
        <v/>
      </c>
      <c r="L574" s="71"/>
      <c r="M574" s="71"/>
      <c r="N574" s="71"/>
      <c r="O574" s="71"/>
      <c r="P574" s="71" t="str">
        <f>IFERROR(INDEX(RECICLADORES!C:C,MATCH(D574,RECICLADORES!B:B,0)),"")</f>
        <v/>
      </c>
      <c r="Q574" s="71" t="str">
        <f>IFERROR(INDEX(RECICLADORES!O:O,MATCH(D574,RECICLADORES!B:B,0)),"")</f>
        <v/>
      </c>
      <c r="R574" s="65"/>
      <c r="S574" s="65"/>
      <c r="T574" s="71"/>
      <c r="U574" s="71"/>
      <c r="V574" s="86"/>
    </row>
    <row r="575" spans="1:22" ht="16.5" thickTop="1" thickBot="1" x14ac:dyDescent="0.3">
      <c r="A575" s="34"/>
      <c r="C575" s="13"/>
      <c r="I575" s="23"/>
      <c r="J575" s="29" t="str">
        <f t="shared" si="7"/>
        <v/>
      </c>
      <c r="L575" s="71"/>
      <c r="M575" s="71"/>
      <c r="N575" s="71"/>
      <c r="O575" s="71"/>
      <c r="P575" s="71" t="str">
        <f>IFERROR(INDEX(RECICLADORES!C:C,MATCH(D575,RECICLADORES!B:B,0)),"")</f>
        <v/>
      </c>
      <c r="Q575" s="71" t="str">
        <f>IFERROR(INDEX(RECICLADORES!O:O,MATCH(D575,RECICLADORES!B:B,0)),"")</f>
        <v/>
      </c>
      <c r="R575" s="65"/>
      <c r="S575" s="65"/>
      <c r="T575" s="71"/>
      <c r="U575" s="71"/>
      <c r="V575" s="86"/>
    </row>
    <row r="576" spans="1:22" ht="16.5" thickTop="1" thickBot="1" x14ac:dyDescent="0.3">
      <c r="A576" s="35"/>
      <c r="C576" s="13"/>
      <c r="I576" s="23"/>
      <c r="J576" s="29" t="str">
        <f t="shared" si="7"/>
        <v/>
      </c>
      <c r="L576" s="71"/>
      <c r="M576" s="71"/>
      <c r="N576" s="71"/>
      <c r="O576" s="71"/>
      <c r="P576" s="71" t="str">
        <f>IFERROR(INDEX(RECICLADORES!C:C,MATCH(D576,RECICLADORES!B:B,0)),"")</f>
        <v/>
      </c>
      <c r="Q576" s="71" t="str">
        <f>IFERROR(INDEX(RECICLADORES!O:O,MATCH(D576,RECICLADORES!B:B,0)),"")</f>
        <v/>
      </c>
      <c r="R576" s="65"/>
      <c r="S576" s="65"/>
      <c r="T576" s="71"/>
      <c r="U576" s="71"/>
      <c r="V576" s="86"/>
    </row>
    <row r="577" spans="1:22" ht="16.5" thickTop="1" thickBot="1" x14ac:dyDescent="0.3">
      <c r="A577" s="34"/>
      <c r="C577" s="13"/>
      <c r="I577" s="23"/>
      <c r="J577" s="29" t="str">
        <f t="shared" si="7"/>
        <v/>
      </c>
      <c r="L577" s="71"/>
      <c r="M577" s="71"/>
      <c r="N577" s="71"/>
      <c r="O577" s="71"/>
      <c r="P577" s="71" t="str">
        <f>IFERROR(INDEX(RECICLADORES!C:C,MATCH(D577,RECICLADORES!B:B,0)),"")</f>
        <v/>
      </c>
      <c r="Q577" s="71" t="str">
        <f>IFERROR(INDEX(RECICLADORES!O:O,MATCH(D577,RECICLADORES!B:B,0)),"")</f>
        <v/>
      </c>
      <c r="R577" s="65"/>
      <c r="S577" s="65"/>
      <c r="T577" s="71"/>
      <c r="U577" s="71"/>
      <c r="V577" s="86"/>
    </row>
    <row r="578" spans="1:22" ht="16.5" thickTop="1" thickBot="1" x14ac:dyDescent="0.3">
      <c r="A578" s="35"/>
      <c r="C578" s="13"/>
      <c r="I578" s="23"/>
      <c r="J578" s="29" t="str">
        <f t="shared" si="7"/>
        <v/>
      </c>
      <c r="L578" s="71"/>
      <c r="M578" s="71"/>
      <c r="N578" s="71"/>
      <c r="O578" s="71"/>
      <c r="P578" s="71" t="str">
        <f>IFERROR(INDEX(RECICLADORES!C:C,MATCH(D578,RECICLADORES!B:B,0)),"")</f>
        <v/>
      </c>
      <c r="Q578" s="71" t="str">
        <f>IFERROR(INDEX(RECICLADORES!O:O,MATCH(D578,RECICLADORES!B:B,0)),"")</f>
        <v/>
      </c>
      <c r="R578" s="65"/>
      <c r="S578" s="65"/>
      <c r="T578" s="71"/>
      <c r="U578" s="71"/>
      <c r="V578" s="86"/>
    </row>
    <row r="579" spans="1:22" ht="16.5" thickTop="1" thickBot="1" x14ac:dyDescent="0.3">
      <c r="A579" s="34"/>
      <c r="C579" s="13"/>
      <c r="I579" s="23"/>
      <c r="J579" s="29" t="str">
        <f t="shared" si="7"/>
        <v/>
      </c>
      <c r="L579" s="71"/>
      <c r="M579" s="71"/>
      <c r="N579" s="71"/>
      <c r="O579" s="71"/>
      <c r="P579" s="71" t="str">
        <f>IFERROR(INDEX(RECICLADORES!C:C,MATCH(D579,RECICLADORES!B:B,0)),"")</f>
        <v/>
      </c>
      <c r="Q579" s="71" t="str">
        <f>IFERROR(INDEX(RECICLADORES!O:O,MATCH(D579,RECICLADORES!B:B,0)),"")</f>
        <v/>
      </c>
      <c r="R579" s="65"/>
      <c r="S579" s="65"/>
      <c r="T579" s="71"/>
      <c r="U579" s="71"/>
      <c r="V579" s="86"/>
    </row>
    <row r="580" spans="1:22" ht="16.5" thickTop="1" thickBot="1" x14ac:dyDescent="0.3">
      <c r="A580" s="35"/>
      <c r="C580" s="13"/>
      <c r="I580" s="23"/>
      <c r="J580" s="29" t="str">
        <f t="shared" si="7"/>
        <v/>
      </c>
      <c r="L580" s="71"/>
      <c r="M580" s="71"/>
      <c r="N580" s="71"/>
      <c r="O580" s="71"/>
      <c r="P580" s="71" t="str">
        <f>IFERROR(INDEX(RECICLADORES!C:C,MATCH(D580,RECICLADORES!B:B,0)),"")</f>
        <v/>
      </c>
      <c r="Q580" s="71" t="str">
        <f>IFERROR(INDEX(RECICLADORES!O:O,MATCH(D580,RECICLADORES!B:B,0)),"")</f>
        <v/>
      </c>
      <c r="R580" s="65"/>
      <c r="S580" s="65"/>
      <c r="T580" s="71"/>
      <c r="U580" s="71"/>
      <c r="V580" s="86"/>
    </row>
    <row r="581" spans="1:22" ht="16.5" thickTop="1" thickBot="1" x14ac:dyDescent="0.3">
      <c r="A581" s="34"/>
      <c r="C581" s="13"/>
      <c r="I581" s="23"/>
      <c r="J581" s="29" t="str">
        <f t="shared" si="7"/>
        <v/>
      </c>
      <c r="L581" s="71"/>
      <c r="M581" s="71"/>
      <c r="N581" s="71"/>
      <c r="O581" s="71"/>
      <c r="P581" s="71" t="str">
        <f>IFERROR(INDEX(RECICLADORES!C:C,MATCH(D581,RECICLADORES!B:B,0)),"")</f>
        <v/>
      </c>
      <c r="Q581" s="71" t="str">
        <f>IFERROR(INDEX(RECICLADORES!O:O,MATCH(D581,RECICLADORES!B:B,0)),"")</f>
        <v/>
      </c>
      <c r="R581" s="65"/>
      <c r="S581" s="65"/>
      <c r="T581" s="71"/>
      <c r="U581" s="71"/>
      <c r="V581" s="86"/>
    </row>
    <row r="582" spans="1:22" ht="16.5" thickTop="1" thickBot="1" x14ac:dyDescent="0.3">
      <c r="A582" s="35"/>
      <c r="C582" s="13"/>
      <c r="I582" s="23"/>
      <c r="J582" s="29" t="str">
        <f t="shared" si="7"/>
        <v/>
      </c>
      <c r="L582" s="71"/>
      <c r="M582" s="71"/>
      <c r="N582" s="71"/>
      <c r="O582" s="71"/>
      <c r="P582" s="71" t="str">
        <f>IFERROR(INDEX(RECICLADORES!C:C,MATCH(D582,RECICLADORES!B:B,0)),"")</f>
        <v/>
      </c>
      <c r="Q582" s="71" t="str">
        <f>IFERROR(INDEX(RECICLADORES!O:O,MATCH(D582,RECICLADORES!B:B,0)),"")</f>
        <v/>
      </c>
      <c r="R582" s="65"/>
      <c r="S582" s="65"/>
      <c r="T582" s="71"/>
      <c r="U582" s="71"/>
      <c r="V582" s="86"/>
    </row>
    <row r="583" spans="1:22" ht="16.5" thickTop="1" thickBot="1" x14ac:dyDescent="0.3">
      <c r="A583" s="34"/>
      <c r="C583" s="13"/>
      <c r="I583" s="23"/>
      <c r="J583" s="29" t="str">
        <f t="shared" si="7"/>
        <v/>
      </c>
      <c r="L583" s="71"/>
      <c r="M583" s="71"/>
      <c r="N583" s="71"/>
      <c r="O583" s="71"/>
      <c r="P583" s="71" t="str">
        <f>IFERROR(INDEX(RECICLADORES!C:C,MATCH(D583,RECICLADORES!B:B,0)),"")</f>
        <v/>
      </c>
      <c r="Q583" s="71" t="str">
        <f>IFERROR(INDEX(RECICLADORES!O:O,MATCH(D583,RECICLADORES!B:B,0)),"")</f>
        <v/>
      </c>
      <c r="R583" s="65"/>
      <c r="S583" s="65"/>
      <c r="T583" s="71"/>
      <c r="U583" s="71"/>
      <c r="V583" s="86"/>
    </row>
    <row r="584" spans="1:22" ht="16.5" thickTop="1" thickBot="1" x14ac:dyDescent="0.3">
      <c r="A584" s="35"/>
      <c r="C584" s="13"/>
      <c r="I584" s="23"/>
      <c r="J584" s="29" t="str">
        <f t="shared" si="7"/>
        <v/>
      </c>
      <c r="L584" s="71"/>
      <c r="M584" s="71"/>
      <c r="N584" s="71"/>
      <c r="O584" s="71"/>
      <c r="P584" s="71" t="str">
        <f>IFERROR(INDEX(RECICLADORES!C:C,MATCH(D584,RECICLADORES!B:B,0)),"")</f>
        <v/>
      </c>
      <c r="Q584" s="71" t="str">
        <f>IFERROR(INDEX(RECICLADORES!O:O,MATCH(D584,RECICLADORES!B:B,0)),"")</f>
        <v/>
      </c>
      <c r="R584" s="65"/>
      <c r="S584" s="65"/>
      <c r="T584" s="71"/>
      <c r="U584" s="71"/>
      <c r="V584" s="86"/>
    </row>
    <row r="585" spans="1:22" ht="16.5" thickTop="1" thickBot="1" x14ac:dyDescent="0.3">
      <c r="A585" s="34"/>
      <c r="C585" s="13"/>
      <c r="I585" s="23"/>
      <c r="J585" s="29" t="str">
        <f t="shared" si="7"/>
        <v/>
      </c>
      <c r="L585" s="71"/>
      <c r="M585" s="71"/>
      <c r="N585" s="71"/>
      <c r="O585" s="71"/>
      <c r="P585" s="71" t="str">
        <f>IFERROR(INDEX(RECICLADORES!C:C,MATCH(D585,RECICLADORES!B:B,0)),"")</f>
        <v/>
      </c>
      <c r="Q585" s="71" t="str">
        <f>IFERROR(INDEX(RECICLADORES!O:O,MATCH(D585,RECICLADORES!B:B,0)),"")</f>
        <v/>
      </c>
      <c r="R585" s="65"/>
      <c r="S585" s="65"/>
      <c r="T585" s="71"/>
      <c r="U585" s="71"/>
      <c r="V585" s="86"/>
    </row>
    <row r="586" spans="1:22" ht="16.5" thickTop="1" thickBot="1" x14ac:dyDescent="0.3">
      <c r="A586" s="35"/>
      <c r="C586" s="13"/>
      <c r="I586" s="23"/>
      <c r="J586" s="29" t="str">
        <f t="shared" si="7"/>
        <v/>
      </c>
      <c r="L586" s="71"/>
      <c r="M586" s="71"/>
      <c r="N586" s="71"/>
      <c r="O586" s="71"/>
      <c r="P586" s="71" t="str">
        <f>IFERROR(INDEX(RECICLADORES!C:C,MATCH(D586,RECICLADORES!B:B,0)),"")</f>
        <v/>
      </c>
      <c r="Q586" s="71" t="str">
        <f>IFERROR(INDEX(RECICLADORES!O:O,MATCH(D586,RECICLADORES!B:B,0)),"")</f>
        <v/>
      </c>
      <c r="R586" s="65"/>
      <c r="S586" s="65"/>
      <c r="T586" s="71"/>
      <c r="U586" s="71"/>
      <c r="V586" s="86"/>
    </row>
    <row r="587" spans="1:22" ht="16.5" thickTop="1" thickBot="1" x14ac:dyDescent="0.3">
      <c r="A587" s="34"/>
      <c r="C587" s="13"/>
      <c r="I587" s="23"/>
      <c r="J587" s="29" t="str">
        <f t="shared" si="7"/>
        <v/>
      </c>
      <c r="L587" s="71"/>
      <c r="M587" s="71"/>
      <c r="N587" s="71"/>
      <c r="O587" s="71"/>
      <c r="P587" s="71" t="str">
        <f>IFERROR(INDEX(RECICLADORES!C:C,MATCH(D587,RECICLADORES!B:B,0)),"")</f>
        <v/>
      </c>
      <c r="Q587" s="71" t="str">
        <f>IFERROR(INDEX(RECICLADORES!O:O,MATCH(D587,RECICLADORES!B:B,0)),"")</f>
        <v/>
      </c>
      <c r="R587" s="65"/>
      <c r="S587" s="65"/>
      <c r="T587" s="71"/>
      <c r="U587" s="71"/>
      <c r="V587" s="86"/>
    </row>
    <row r="588" spans="1:22" ht="16.5" thickTop="1" thickBot="1" x14ac:dyDescent="0.3">
      <c r="A588" s="35"/>
      <c r="C588" s="13"/>
      <c r="I588" s="23"/>
      <c r="J588" s="29" t="str">
        <f t="shared" si="7"/>
        <v/>
      </c>
      <c r="L588" s="71"/>
      <c r="M588" s="71"/>
      <c r="N588" s="71"/>
      <c r="O588" s="71"/>
      <c r="P588" s="71" t="str">
        <f>IFERROR(INDEX(RECICLADORES!C:C,MATCH(D588,RECICLADORES!B:B,0)),"")</f>
        <v/>
      </c>
      <c r="Q588" s="71" t="str">
        <f>IFERROR(INDEX(RECICLADORES!O:O,MATCH(D588,RECICLADORES!B:B,0)),"")</f>
        <v/>
      </c>
      <c r="R588" s="65"/>
      <c r="S588" s="65"/>
      <c r="T588" s="71"/>
      <c r="U588" s="71"/>
      <c r="V588" s="86"/>
    </row>
    <row r="589" spans="1:22" ht="16.5" thickTop="1" thickBot="1" x14ac:dyDescent="0.3">
      <c r="A589" s="34"/>
      <c r="C589" s="13"/>
      <c r="I589" s="23"/>
      <c r="J589" s="29" t="str">
        <f t="shared" si="7"/>
        <v/>
      </c>
      <c r="L589" s="71"/>
      <c r="M589" s="71"/>
      <c r="N589" s="71"/>
      <c r="O589" s="71"/>
      <c r="P589" s="71" t="str">
        <f>IFERROR(INDEX(RECICLADORES!C:C,MATCH(D589,RECICLADORES!B:B,0)),"")</f>
        <v/>
      </c>
      <c r="Q589" s="71" t="str">
        <f>IFERROR(INDEX(RECICLADORES!O:O,MATCH(D589,RECICLADORES!B:B,0)),"")</f>
        <v/>
      </c>
      <c r="R589" s="65"/>
      <c r="S589" s="65"/>
      <c r="T589" s="71"/>
      <c r="U589" s="71"/>
      <c r="V589" s="86"/>
    </row>
    <row r="590" spans="1:22" ht="16.5" thickTop="1" thickBot="1" x14ac:dyDescent="0.3">
      <c r="A590" s="35"/>
      <c r="C590" s="13"/>
      <c r="I590" s="23"/>
      <c r="J590" s="29" t="str">
        <f t="shared" si="7"/>
        <v/>
      </c>
      <c r="L590" s="71"/>
      <c r="M590" s="71"/>
      <c r="N590" s="71"/>
      <c r="O590" s="71"/>
      <c r="P590" s="71" t="str">
        <f>IFERROR(INDEX(RECICLADORES!C:C,MATCH(D590,RECICLADORES!B:B,0)),"")</f>
        <v/>
      </c>
      <c r="Q590" s="71" t="str">
        <f>IFERROR(INDEX(RECICLADORES!O:O,MATCH(D590,RECICLADORES!B:B,0)),"")</f>
        <v/>
      </c>
      <c r="R590" s="65"/>
      <c r="S590" s="65"/>
      <c r="T590" s="71"/>
      <c r="U590" s="71"/>
      <c r="V590" s="86"/>
    </row>
    <row r="591" spans="1:22" ht="16.5" thickTop="1" thickBot="1" x14ac:dyDescent="0.3">
      <c r="A591" s="34"/>
      <c r="C591" s="13"/>
      <c r="I591" s="23"/>
      <c r="J591" s="29" t="str">
        <f t="shared" si="7"/>
        <v/>
      </c>
      <c r="L591" s="71"/>
      <c r="M591" s="71"/>
      <c r="N591" s="71"/>
      <c r="O591" s="71"/>
      <c r="P591" s="71" t="str">
        <f>IFERROR(INDEX(RECICLADORES!C:C,MATCH(D591,RECICLADORES!B:B,0)),"")</f>
        <v/>
      </c>
      <c r="Q591" s="71" t="str">
        <f>IFERROR(INDEX(RECICLADORES!O:O,MATCH(D591,RECICLADORES!B:B,0)),"")</f>
        <v/>
      </c>
      <c r="R591" s="65"/>
      <c r="S591" s="65"/>
      <c r="T591" s="71"/>
      <c r="U591" s="71"/>
      <c r="V591" s="86"/>
    </row>
    <row r="592" spans="1:22" ht="16.5" thickTop="1" thickBot="1" x14ac:dyDescent="0.3">
      <c r="A592" s="35"/>
      <c r="C592" s="13"/>
      <c r="I592" s="23"/>
      <c r="J592" s="29" t="str">
        <f t="shared" si="7"/>
        <v/>
      </c>
      <c r="L592" s="71"/>
      <c r="M592" s="71"/>
      <c r="N592" s="71"/>
      <c r="O592" s="71"/>
      <c r="P592" s="71" t="str">
        <f>IFERROR(INDEX(RECICLADORES!C:C,MATCH(D592,RECICLADORES!B:B,0)),"")</f>
        <v/>
      </c>
      <c r="Q592" s="71" t="str">
        <f>IFERROR(INDEX(RECICLADORES!O:O,MATCH(D592,RECICLADORES!B:B,0)),"")</f>
        <v/>
      </c>
      <c r="R592" s="65"/>
      <c r="S592" s="65"/>
      <c r="T592" s="71"/>
      <c r="U592" s="71"/>
      <c r="V592" s="86"/>
    </row>
    <row r="593" spans="1:22" ht="16.5" thickTop="1" thickBot="1" x14ac:dyDescent="0.3">
      <c r="A593" s="34"/>
      <c r="C593" s="13"/>
      <c r="I593" s="23"/>
      <c r="J593" s="29" t="str">
        <f t="shared" si="7"/>
        <v/>
      </c>
      <c r="L593" s="71"/>
      <c r="M593" s="71"/>
      <c r="N593" s="71"/>
      <c r="O593" s="71"/>
      <c r="P593" s="71" t="str">
        <f>IFERROR(INDEX(RECICLADORES!C:C,MATCH(D593,RECICLADORES!B:B,0)),"")</f>
        <v/>
      </c>
      <c r="Q593" s="71" t="str">
        <f>IFERROR(INDEX(RECICLADORES!O:O,MATCH(D593,RECICLADORES!B:B,0)),"")</f>
        <v/>
      </c>
      <c r="R593" s="65"/>
      <c r="S593" s="65"/>
      <c r="T593" s="71"/>
      <c r="U593" s="71"/>
      <c r="V593" s="86"/>
    </row>
    <row r="594" spans="1:22" ht="16.5" thickTop="1" thickBot="1" x14ac:dyDescent="0.3">
      <c r="A594" s="35"/>
      <c r="C594" s="13"/>
      <c r="I594" s="23"/>
      <c r="J594" s="29" t="str">
        <f t="shared" si="7"/>
        <v/>
      </c>
      <c r="L594" s="71"/>
      <c r="M594" s="71"/>
      <c r="N594" s="71"/>
      <c r="O594" s="71"/>
      <c r="P594" s="71" t="str">
        <f>IFERROR(INDEX(RECICLADORES!C:C,MATCH(D594,RECICLADORES!B:B,0)),"")</f>
        <v/>
      </c>
      <c r="Q594" s="71" t="str">
        <f>IFERROR(INDEX(RECICLADORES!O:O,MATCH(D594,RECICLADORES!B:B,0)),"")</f>
        <v/>
      </c>
      <c r="R594" s="65"/>
      <c r="S594" s="65"/>
      <c r="T594" s="71"/>
      <c r="U594" s="71"/>
      <c r="V594" s="86"/>
    </row>
    <row r="595" spans="1:22" ht="16.5" thickTop="1" thickBot="1" x14ac:dyDescent="0.3">
      <c r="A595" s="34"/>
      <c r="C595" s="13"/>
      <c r="I595" s="23"/>
      <c r="J595" s="29" t="str">
        <f t="shared" si="7"/>
        <v/>
      </c>
      <c r="L595" s="71"/>
      <c r="M595" s="71"/>
      <c r="N595" s="71"/>
      <c r="O595" s="71"/>
      <c r="P595" s="71" t="str">
        <f>IFERROR(INDEX(RECICLADORES!C:C,MATCH(D595,RECICLADORES!B:B,0)),"")</f>
        <v/>
      </c>
      <c r="Q595" s="71" t="str">
        <f>IFERROR(INDEX(RECICLADORES!O:O,MATCH(D595,RECICLADORES!B:B,0)),"")</f>
        <v/>
      </c>
      <c r="R595" s="65"/>
      <c r="S595" s="65"/>
      <c r="T595" s="71"/>
      <c r="U595" s="71"/>
      <c r="V595" s="86"/>
    </row>
    <row r="596" spans="1:22" ht="16.5" thickTop="1" thickBot="1" x14ac:dyDescent="0.3">
      <c r="A596" s="35"/>
      <c r="C596" s="13"/>
      <c r="I596" s="23"/>
      <c r="J596" s="29" t="str">
        <f t="shared" si="7"/>
        <v/>
      </c>
      <c r="L596" s="71"/>
      <c r="M596" s="71"/>
      <c r="N596" s="71"/>
      <c r="O596" s="71"/>
      <c r="P596" s="71" t="str">
        <f>IFERROR(INDEX(RECICLADORES!C:C,MATCH(D596,RECICLADORES!B:B,0)),"")</f>
        <v/>
      </c>
      <c r="Q596" s="71" t="str">
        <f>IFERROR(INDEX(RECICLADORES!O:O,MATCH(D596,RECICLADORES!B:B,0)),"")</f>
        <v/>
      </c>
      <c r="R596" s="65"/>
      <c r="S596" s="65"/>
      <c r="T596" s="71"/>
      <c r="U596" s="71"/>
      <c r="V596" s="86"/>
    </row>
    <row r="597" spans="1:22" ht="16.5" thickTop="1" thickBot="1" x14ac:dyDescent="0.3">
      <c r="A597" s="34"/>
      <c r="C597" s="13"/>
      <c r="I597" s="23"/>
      <c r="J597" s="29" t="str">
        <f t="shared" si="7"/>
        <v/>
      </c>
      <c r="L597" s="71"/>
      <c r="M597" s="71"/>
      <c r="N597" s="71"/>
      <c r="O597" s="71"/>
      <c r="P597" s="71" t="str">
        <f>IFERROR(INDEX(RECICLADORES!C:C,MATCH(D597,RECICLADORES!B:B,0)),"")</f>
        <v/>
      </c>
      <c r="Q597" s="71" t="str">
        <f>IFERROR(INDEX(RECICLADORES!O:O,MATCH(D597,RECICLADORES!B:B,0)),"")</f>
        <v/>
      </c>
      <c r="R597" s="65"/>
      <c r="S597" s="65"/>
      <c r="T597" s="71"/>
      <c r="U597" s="71"/>
      <c r="V597" s="86"/>
    </row>
    <row r="598" spans="1:22" ht="16.5" thickTop="1" thickBot="1" x14ac:dyDescent="0.3">
      <c r="A598" s="35"/>
      <c r="C598" s="13"/>
      <c r="I598" s="23"/>
      <c r="J598" s="29" t="str">
        <f t="shared" si="7"/>
        <v/>
      </c>
      <c r="L598" s="71"/>
      <c r="M598" s="71"/>
      <c r="N598" s="71"/>
      <c r="O598" s="71"/>
      <c r="P598" s="71" t="str">
        <f>IFERROR(INDEX(RECICLADORES!C:C,MATCH(D598,RECICLADORES!B:B,0)),"")</f>
        <v/>
      </c>
      <c r="Q598" s="71" t="str">
        <f>IFERROR(INDEX(RECICLADORES!O:O,MATCH(D598,RECICLADORES!B:B,0)),"")</f>
        <v/>
      </c>
      <c r="R598" s="65"/>
      <c r="S598" s="65"/>
      <c r="T598" s="71"/>
      <c r="U598" s="71"/>
      <c r="V598" s="86"/>
    </row>
    <row r="599" spans="1:22" ht="16.5" thickTop="1" thickBot="1" x14ac:dyDescent="0.3">
      <c r="A599" s="35"/>
      <c r="C599" s="13"/>
      <c r="I599" s="23"/>
      <c r="J599" s="29" t="str">
        <f t="shared" si="7"/>
        <v/>
      </c>
      <c r="L599" s="71"/>
      <c r="M599" s="71"/>
      <c r="N599" s="71"/>
      <c r="O599" s="71"/>
      <c r="P599" s="71" t="str">
        <f>IFERROR(INDEX(RECICLADORES!C:C,MATCH(D599,RECICLADORES!B:B,0)),"")</f>
        <v/>
      </c>
      <c r="Q599" s="71" t="str">
        <f>IFERROR(INDEX(RECICLADORES!O:O,MATCH(D599,RECICLADORES!B:B,0)),"")</f>
        <v/>
      </c>
      <c r="R599" s="65"/>
      <c r="S599" s="65"/>
      <c r="T599" s="71"/>
      <c r="U599" s="71"/>
      <c r="V599" s="86"/>
    </row>
    <row r="600" spans="1:22" ht="16.5" thickTop="1" thickBot="1" x14ac:dyDescent="0.3">
      <c r="A600" s="34"/>
      <c r="C600" s="13"/>
      <c r="I600" s="23"/>
      <c r="J600" s="29" t="str">
        <f t="shared" si="7"/>
        <v/>
      </c>
      <c r="L600" s="71"/>
      <c r="M600" s="71"/>
      <c r="N600" s="71"/>
      <c r="O600" s="71"/>
      <c r="P600" s="71" t="str">
        <f>IFERROR(INDEX(RECICLADORES!C:C,MATCH(D600,RECICLADORES!B:B,0)),"")</f>
        <v/>
      </c>
      <c r="Q600" s="71" t="str">
        <f>IFERROR(INDEX(RECICLADORES!O:O,MATCH(D600,RECICLADORES!B:B,0)),"")</f>
        <v/>
      </c>
      <c r="R600" s="65"/>
      <c r="S600" s="65"/>
      <c r="T600" s="71"/>
      <c r="U600" s="71"/>
      <c r="V600" s="86"/>
    </row>
    <row r="601" spans="1:22" ht="16.5" thickTop="1" thickBot="1" x14ac:dyDescent="0.3">
      <c r="A601" s="35"/>
      <c r="C601" s="13"/>
      <c r="I601" s="23"/>
      <c r="J601" s="29" t="str">
        <f t="shared" si="7"/>
        <v/>
      </c>
      <c r="L601" s="71"/>
      <c r="M601" s="71"/>
      <c r="N601" s="71"/>
      <c r="O601" s="71"/>
      <c r="P601" s="71" t="str">
        <f>IFERROR(INDEX(RECICLADORES!C:C,MATCH(D601,RECICLADORES!B:B,0)),"")</f>
        <v/>
      </c>
      <c r="Q601" s="71" t="str">
        <f>IFERROR(INDEX(RECICLADORES!O:O,MATCH(D601,RECICLADORES!B:B,0)),"")</f>
        <v/>
      </c>
      <c r="R601" s="65"/>
      <c r="S601" s="65"/>
      <c r="T601" s="71"/>
      <c r="U601" s="71"/>
      <c r="V601" s="86"/>
    </row>
    <row r="602" spans="1:22" ht="16.5" thickTop="1" thickBot="1" x14ac:dyDescent="0.3">
      <c r="A602" s="34"/>
      <c r="C602" s="13"/>
      <c r="I602" s="23"/>
      <c r="J602" s="29" t="str">
        <f t="shared" si="7"/>
        <v/>
      </c>
      <c r="L602" s="71"/>
      <c r="M602" s="71"/>
      <c r="N602" s="71"/>
      <c r="O602" s="71"/>
      <c r="P602" s="71" t="str">
        <f>IFERROR(INDEX(RECICLADORES!C:C,MATCH(D602,RECICLADORES!B:B,0)),"")</f>
        <v/>
      </c>
      <c r="Q602" s="71" t="str">
        <f>IFERROR(INDEX(RECICLADORES!O:O,MATCH(D602,RECICLADORES!B:B,0)),"")</f>
        <v/>
      </c>
      <c r="R602" s="65"/>
      <c r="S602" s="65"/>
      <c r="T602" s="71"/>
      <c r="U602" s="71"/>
      <c r="V602" s="86"/>
    </row>
    <row r="603" spans="1:22" ht="16.5" thickTop="1" thickBot="1" x14ac:dyDescent="0.3">
      <c r="A603" s="35"/>
      <c r="C603" s="13"/>
      <c r="I603" s="23"/>
      <c r="J603" s="29" t="str">
        <f t="shared" si="7"/>
        <v/>
      </c>
      <c r="L603" s="71"/>
      <c r="M603" s="71"/>
      <c r="N603" s="71"/>
      <c r="O603" s="71"/>
      <c r="P603" s="71" t="str">
        <f>IFERROR(INDEX(RECICLADORES!C:C,MATCH(D603,RECICLADORES!B:B,0)),"")</f>
        <v/>
      </c>
      <c r="Q603" s="71" t="str">
        <f>IFERROR(INDEX(RECICLADORES!O:O,MATCH(D603,RECICLADORES!B:B,0)),"")</f>
        <v/>
      </c>
      <c r="R603" s="65"/>
      <c r="S603" s="65"/>
      <c r="T603" s="71"/>
      <c r="U603" s="71"/>
      <c r="V603" s="86"/>
    </row>
    <row r="604" spans="1:22" ht="16.5" thickTop="1" thickBot="1" x14ac:dyDescent="0.3">
      <c r="A604" s="34"/>
      <c r="C604" s="13"/>
      <c r="I604" s="23"/>
      <c r="J604" s="29" t="str">
        <f t="shared" si="7"/>
        <v/>
      </c>
      <c r="L604" s="71"/>
      <c r="M604" s="71"/>
      <c r="N604" s="71"/>
      <c r="O604" s="71"/>
      <c r="P604" s="71" t="str">
        <f>IFERROR(INDEX(RECICLADORES!C:C,MATCH(D604,RECICLADORES!B:B,0)),"")</f>
        <v/>
      </c>
      <c r="Q604" s="71" t="str">
        <f>IFERROR(INDEX(RECICLADORES!O:O,MATCH(D604,RECICLADORES!B:B,0)),"")</f>
        <v/>
      </c>
      <c r="R604" s="65"/>
      <c r="S604" s="65"/>
      <c r="T604" s="71"/>
      <c r="U604" s="71"/>
      <c r="V604" s="86"/>
    </row>
    <row r="605" spans="1:22" ht="16.5" thickTop="1" thickBot="1" x14ac:dyDescent="0.3">
      <c r="A605" s="35"/>
      <c r="C605" s="13"/>
      <c r="I605" s="23"/>
      <c r="J605" s="29" t="str">
        <f t="shared" si="7"/>
        <v/>
      </c>
      <c r="L605" s="71"/>
      <c r="M605" s="71"/>
      <c r="N605" s="71"/>
      <c r="O605" s="71"/>
      <c r="P605" s="71" t="str">
        <f>IFERROR(INDEX(RECICLADORES!C:C,MATCH(D605,RECICLADORES!B:B,0)),"")</f>
        <v/>
      </c>
      <c r="Q605" s="71" t="str">
        <f>IFERROR(INDEX(RECICLADORES!O:O,MATCH(D605,RECICLADORES!B:B,0)),"")</f>
        <v/>
      </c>
      <c r="R605" s="65"/>
      <c r="S605" s="65"/>
      <c r="T605" s="71"/>
      <c r="U605" s="71"/>
      <c r="V605" s="86"/>
    </row>
    <row r="606" spans="1:22" ht="16.5" thickTop="1" thickBot="1" x14ac:dyDescent="0.3">
      <c r="A606" s="34"/>
      <c r="C606" s="13"/>
      <c r="I606" s="23"/>
      <c r="J606" s="29" t="str">
        <f t="shared" si="7"/>
        <v/>
      </c>
      <c r="L606" s="71"/>
      <c r="M606" s="71"/>
      <c r="N606" s="71"/>
      <c r="O606" s="71"/>
      <c r="P606" s="71" t="str">
        <f>IFERROR(INDEX(RECICLADORES!C:C,MATCH(D606,RECICLADORES!B:B,0)),"")</f>
        <v/>
      </c>
      <c r="Q606" s="71" t="str">
        <f>IFERROR(INDEX(RECICLADORES!O:O,MATCH(D606,RECICLADORES!B:B,0)),"")</f>
        <v/>
      </c>
      <c r="R606" s="65"/>
      <c r="S606" s="65"/>
      <c r="T606" s="71"/>
      <c r="U606" s="71"/>
      <c r="V606" s="86"/>
    </row>
    <row r="607" spans="1:22" ht="16.5" thickTop="1" thickBot="1" x14ac:dyDescent="0.3">
      <c r="A607" s="35"/>
      <c r="C607" s="13"/>
      <c r="I607" s="23"/>
      <c r="J607" s="29" t="str">
        <f t="shared" si="7"/>
        <v/>
      </c>
      <c r="L607" s="71"/>
      <c r="M607" s="71"/>
      <c r="N607" s="71"/>
      <c r="O607" s="71"/>
      <c r="P607" s="71" t="str">
        <f>IFERROR(INDEX(RECICLADORES!C:C,MATCH(D607,RECICLADORES!B:B,0)),"")</f>
        <v/>
      </c>
      <c r="Q607" s="71" t="str">
        <f>IFERROR(INDEX(RECICLADORES!O:O,MATCH(D607,RECICLADORES!B:B,0)),"")</f>
        <v/>
      </c>
      <c r="R607" s="65"/>
      <c r="S607" s="65"/>
      <c r="T607" s="71"/>
      <c r="U607" s="71"/>
      <c r="V607" s="86"/>
    </row>
    <row r="608" spans="1:22" ht="16.5" thickTop="1" thickBot="1" x14ac:dyDescent="0.3">
      <c r="A608" s="34"/>
      <c r="C608" s="13"/>
      <c r="I608" s="23"/>
      <c r="J608" s="29" t="str">
        <f t="shared" si="7"/>
        <v/>
      </c>
      <c r="L608" s="71"/>
      <c r="M608" s="71"/>
      <c r="N608" s="71"/>
      <c r="O608" s="71"/>
      <c r="P608" s="71" t="str">
        <f>IFERROR(INDEX(RECICLADORES!C:C,MATCH(D608,RECICLADORES!B:B,0)),"")</f>
        <v/>
      </c>
      <c r="Q608" s="71" t="str">
        <f>IFERROR(INDEX(RECICLADORES!O:O,MATCH(D608,RECICLADORES!B:B,0)),"")</f>
        <v/>
      </c>
      <c r="R608" s="65"/>
      <c r="S608" s="65"/>
      <c r="T608" s="71"/>
      <c r="U608" s="71"/>
      <c r="V608" s="86"/>
    </row>
    <row r="609" spans="1:22" ht="16.5" thickTop="1" thickBot="1" x14ac:dyDescent="0.3">
      <c r="A609" s="35"/>
      <c r="C609" s="13"/>
      <c r="I609" s="23"/>
      <c r="J609" s="29" t="str">
        <f t="shared" si="7"/>
        <v/>
      </c>
      <c r="L609" s="71"/>
      <c r="M609" s="71"/>
      <c r="N609" s="71"/>
      <c r="O609" s="71"/>
      <c r="P609" s="71" t="str">
        <f>IFERROR(INDEX(RECICLADORES!C:C,MATCH(D609,RECICLADORES!B:B,0)),"")</f>
        <v/>
      </c>
      <c r="Q609" s="71" t="str">
        <f>IFERROR(INDEX(RECICLADORES!O:O,MATCH(D609,RECICLADORES!B:B,0)),"")</f>
        <v/>
      </c>
      <c r="R609" s="65"/>
      <c r="S609" s="65"/>
      <c r="T609" s="71"/>
      <c r="U609" s="71"/>
      <c r="V609" s="86"/>
    </row>
    <row r="610" spans="1:22" ht="16.5" thickTop="1" thickBot="1" x14ac:dyDescent="0.3">
      <c r="A610" s="34"/>
      <c r="C610" s="13"/>
      <c r="I610" s="23"/>
      <c r="J610" s="29" t="str">
        <f t="shared" si="7"/>
        <v/>
      </c>
      <c r="L610" s="71"/>
      <c r="M610" s="71"/>
      <c r="N610" s="71"/>
      <c r="O610" s="71"/>
      <c r="P610" s="71" t="str">
        <f>IFERROR(INDEX(RECICLADORES!C:C,MATCH(D610,RECICLADORES!B:B,0)),"")</f>
        <v/>
      </c>
      <c r="Q610" s="71" t="str">
        <f>IFERROR(INDEX(RECICLADORES!O:O,MATCH(D610,RECICLADORES!B:B,0)),"")</f>
        <v/>
      </c>
      <c r="R610" s="65"/>
      <c r="S610" s="65"/>
      <c r="T610" s="71"/>
      <c r="U610" s="71"/>
      <c r="V610" s="86"/>
    </row>
    <row r="611" spans="1:22" ht="16.5" thickTop="1" thickBot="1" x14ac:dyDescent="0.3">
      <c r="A611" s="35"/>
      <c r="C611" s="13"/>
      <c r="I611" s="23"/>
      <c r="J611" s="29" t="str">
        <f t="shared" si="7"/>
        <v/>
      </c>
      <c r="L611" s="71"/>
      <c r="M611" s="71"/>
      <c r="N611" s="71"/>
      <c r="O611" s="71"/>
      <c r="P611" s="71" t="str">
        <f>IFERROR(INDEX(RECICLADORES!C:C,MATCH(D611,RECICLADORES!B:B,0)),"")</f>
        <v/>
      </c>
      <c r="Q611" s="71" t="str">
        <f>IFERROR(INDEX(RECICLADORES!O:O,MATCH(D611,RECICLADORES!B:B,0)),"")</f>
        <v/>
      </c>
      <c r="R611" s="65"/>
      <c r="S611" s="65"/>
      <c r="T611" s="71"/>
      <c r="U611" s="71"/>
      <c r="V611" s="86"/>
    </row>
    <row r="612" spans="1:22" ht="16.5" thickTop="1" thickBot="1" x14ac:dyDescent="0.3">
      <c r="A612" s="34"/>
      <c r="C612" s="13"/>
      <c r="I612" s="23"/>
      <c r="J612" s="29" t="str">
        <f t="shared" si="7"/>
        <v/>
      </c>
      <c r="L612" s="71"/>
      <c r="M612" s="71"/>
      <c r="N612" s="71"/>
      <c r="O612" s="71"/>
      <c r="P612" s="71" t="str">
        <f>IFERROR(INDEX(RECICLADORES!C:C,MATCH(D612,RECICLADORES!B:B,0)),"")</f>
        <v/>
      </c>
      <c r="Q612" s="71" t="str">
        <f>IFERROR(INDEX(RECICLADORES!O:O,MATCH(D612,RECICLADORES!B:B,0)),"")</f>
        <v/>
      </c>
      <c r="R612" s="65"/>
      <c r="S612" s="65"/>
      <c r="T612" s="71"/>
      <c r="U612" s="71"/>
      <c r="V612" s="86"/>
    </row>
    <row r="613" spans="1:22" ht="16.5" thickTop="1" thickBot="1" x14ac:dyDescent="0.3">
      <c r="A613" s="35"/>
      <c r="C613" s="13"/>
      <c r="I613" s="23"/>
      <c r="J613" s="29" t="str">
        <f t="shared" si="7"/>
        <v/>
      </c>
      <c r="L613" s="71"/>
      <c r="M613" s="71"/>
      <c r="N613" s="71"/>
      <c r="O613" s="71"/>
      <c r="P613" s="71" t="str">
        <f>IFERROR(INDEX(RECICLADORES!C:C,MATCH(D613,RECICLADORES!B:B,0)),"")</f>
        <v/>
      </c>
      <c r="Q613" s="71" t="str">
        <f>IFERROR(INDEX(RECICLADORES!O:O,MATCH(D613,RECICLADORES!B:B,0)),"")</f>
        <v/>
      </c>
      <c r="R613" s="65"/>
      <c r="S613" s="65"/>
      <c r="T613" s="71"/>
      <c r="U613" s="71"/>
      <c r="V613" s="86"/>
    </row>
    <row r="614" spans="1:22" ht="16.5" thickTop="1" thickBot="1" x14ac:dyDescent="0.3">
      <c r="A614" s="34"/>
      <c r="C614" s="13"/>
      <c r="I614" s="23"/>
      <c r="J614" s="29" t="str">
        <f t="shared" si="7"/>
        <v/>
      </c>
      <c r="L614" s="71"/>
      <c r="M614" s="71"/>
      <c r="N614" s="71"/>
      <c r="O614" s="71"/>
      <c r="P614" s="71" t="str">
        <f>IFERROR(INDEX(RECICLADORES!C:C,MATCH(D614,RECICLADORES!B:B,0)),"")</f>
        <v/>
      </c>
      <c r="Q614" s="71" t="str">
        <f>IFERROR(INDEX(RECICLADORES!O:O,MATCH(D614,RECICLADORES!B:B,0)),"")</f>
        <v/>
      </c>
      <c r="R614" s="65"/>
      <c r="S614" s="65"/>
      <c r="T614" s="71"/>
      <c r="U614" s="71"/>
      <c r="V614" s="86"/>
    </row>
    <row r="615" spans="1:22" ht="16.5" thickTop="1" thickBot="1" x14ac:dyDescent="0.3">
      <c r="A615" s="35"/>
      <c r="C615" s="13"/>
      <c r="I615" s="23"/>
      <c r="J615" s="29" t="str">
        <f t="shared" si="7"/>
        <v/>
      </c>
      <c r="L615" s="71"/>
      <c r="M615" s="71"/>
      <c r="N615" s="71"/>
      <c r="O615" s="71"/>
      <c r="P615" s="71" t="str">
        <f>IFERROR(INDEX(RECICLADORES!C:C,MATCH(D615,RECICLADORES!B:B,0)),"")</f>
        <v/>
      </c>
      <c r="Q615" s="71" t="str">
        <f>IFERROR(INDEX(RECICLADORES!O:O,MATCH(D615,RECICLADORES!B:B,0)),"")</f>
        <v/>
      </c>
      <c r="R615" s="65"/>
      <c r="S615" s="65"/>
      <c r="T615" s="71"/>
      <c r="U615" s="71"/>
      <c r="V615" s="86"/>
    </row>
    <row r="616" spans="1:22" ht="16.5" thickTop="1" thickBot="1" x14ac:dyDescent="0.3">
      <c r="A616" s="34"/>
      <c r="C616" s="13"/>
      <c r="I616" s="23"/>
      <c r="J616" s="29" t="str">
        <f t="shared" si="7"/>
        <v/>
      </c>
      <c r="L616" s="71"/>
      <c r="M616" s="71"/>
      <c r="N616" s="71"/>
      <c r="O616" s="71"/>
      <c r="P616" s="71" t="str">
        <f>IFERROR(INDEX(RECICLADORES!C:C,MATCH(D616,RECICLADORES!B:B,0)),"")</f>
        <v/>
      </c>
      <c r="Q616" s="71" t="str">
        <f>IFERROR(INDEX(RECICLADORES!O:O,MATCH(D616,RECICLADORES!B:B,0)),"")</f>
        <v/>
      </c>
      <c r="R616" s="65"/>
      <c r="S616" s="65"/>
      <c r="T616" s="71"/>
      <c r="U616" s="71"/>
      <c r="V616" s="86"/>
    </row>
    <row r="617" spans="1:22" ht="16.5" thickTop="1" thickBot="1" x14ac:dyDescent="0.3">
      <c r="A617" s="35"/>
      <c r="C617" s="13"/>
      <c r="I617" s="23"/>
      <c r="J617" s="29" t="str">
        <f t="shared" si="7"/>
        <v/>
      </c>
      <c r="L617" s="71"/>
      <c r="M617" s="71"/>
      <c r="N617" s="71"/>
      <c r="O617" s="71"/>
      <c r="P617" s="71" t="str">
        <f>IFERROR(INDEX(RECICLADORES!C:C,MATCH(D617,RECICLADORES!B:B,0)),"")</f>
        <v/>
      </c>
      <c r="Q617" s="71" t="str">
        <f>IFERROR(INDEX(RECICLADORES!O:O,MATCH(D617,RECICLADORES!B:B,0)),"")</f>
        <v/>
      </c>
      <c r="R617" s="65"/>
      <c r="S617" s="65"/>
      <c r="T617" s="71"/>
      <c r="U617" s="71"/>
      <c r="V617" s="86"/>
    </row>
    <row r="618" spans="1:22" ht="16.5" thickTop="1" thickBot="1" x14ac:dyDescent="0.3">
      <c r="A618" s="34"/>
      <c r="C618" s="13"/>
      <c r="I618" s="23"/>
      <c r="J618" s="29" t="str">
        <f t="shared" si="7"/>
        <v/>
      </c>
      <c r="L618" s="71"/>
      <c r="M618" s="71"/>
      <c r="N618" s="71"/>
      <c r="O618" s="71"/>
      <c r="P618" s="71" t="str">
        <f>IFERROR(INDEX(RECICLADORES!C:C,MATCH(D618,RECICLADORES!B:B,0)),"")</f>
        <v/>
      </c>
      <c r="Q618" s="71" t="str">
        <f>IFERROR(INDEX(RECICLADORES!O:O,MATCH(D618,RECICLADORES!B:B,0)),"")</f>
        <v/>
      </c>
      <c r="R618" s="65"/>
      <c r="S618" s="65"/>
      <c r="T618" s="71"/>
      <c r="U618" s="71"/>
      <c r="V618" s="86"/>
    </row>
    <row r="619" spans="1:22" ht="16.5" thickTop="1" thickBot="1" x14ac:dyDescent="0.3">
      <c r="A619" s="35"/>
      <c r="C619" s="13"/>
      <c r="I619" s="23"/>
      <c r="J619" s="29" t="str">
        <f t="shared" ref="J619:J682" si="8">IF(C619="","",INT((DAY(C619)-1)/7)+1)</f>
        <v/>
      </c>
      <c r="L619" s="71"/>
      <c r="M619" s="71"/>
      <c r="N619" s="71"/>
      <c r="O619" s="71"/>
      <c r="P619" s="71" t="str">
        <f>IFERROR(INDEX(RECICLADORES!C:C,MATCH(D619,RECICLADORES!B:B,0)),"")</f>
        <v/>
      </c>
      <c r="Q619" s="71" t="str">
        <f>IFERROR(INDEX(RECICLADORES!O:O,MATCH(D619,RECICLADORES!B:B,0)),"")</f>
        <v/>
      </c>
      <c r="R619" s="65"/>
      <c r="S619" s="65"/>
      <c r="T619" s="71"/>
      <c r="U619" s="71"/>
      <c r="V619" s="86"/>
    </row>
    <row r="620" spans="1:22" ht="16.5" thickTop="1" thickBot="1" x14ac:dyDescent="0.3">
      <c r="A620" s="34"/>
      <c r="C620" s="13"/>
      <c r="I620" s="23"/>
      <c r="J620" s="29" t="str">
        <f t="shared" si="8"/>
        <v/>
      </c>
      <c r="L620" s="71"/>
      <c r="M620" s="71"/>
      <c r="N620" s="71"/>
      <c r="O620" s="71"/>
      <c r="P620" s="71" t="str">
        <f>IFERROR(INDEX(RECICLADORES!C:C,MATCH(D620,RECICLADORES!B:B,0)),"")</f>
        <v/>
      </c>
      <c r="Q620" s="71" t="str">
        <f>IFERROR(INDEX(RECICLADORES!O:O,MATCH(D620,RECICLADORES!B:B,0)),"")</f>
        <v/>
      </c>
      <c r="R620" s="65"/>
      <c r="S620" s="65"/>
      <c r="T620" s="71"/>
      <c r="U620" s="71"/>
      <c r="V620" s="86"/>
    </row>
    <row r="621" spans="1:22" ht="16.5" thickTop="1" thickBot="1" x14ac:dyDescent="0.3">
      <c r="A621" s="35"/>
      <c r="C621" s="13"/>
      <c r="I621" s="23"/>
      <c r="J621" s="29" t="str">
        <f t="shared" si="8"/>
        <v/>
      </c>
      <c r="L621" s="71"/>
      <c r="M621" s="71"/>
      <c r="N621" s="71"/>
      <c r="O621" s="71"/>
      <c r="P621" s="71" t="str">
        <f>IFERROR(INDEX(RECICLADORES!C:C,MATCH(D621,RECICLADORES!B:B,0)),"")</f>
        <v/>
      </c>
      <c r="Q621" s="71" t="str">
        <f>IFERROR(INDEX(RECICLADORES!O:O,MATCH(D621,RECICLADORES!B:B,0)),"")</f>
        <v/>
      </c>
      <c r="R621" s="65"/>
      <c r="S621" s="65"/>
      <c r="T621" s="71"/>
      <c r="U621" s="71"/>
      <c r="V621" s="86"/>
    </row>
    <row r="622" spans="1:22" ht="16.5" thickTop="1" thickBot="1" x14ac:dyDescent="0.3">
      <c r="A622" s="34"/>
      <c r="C622" s="13"/>
      <c r="I622" s="23"/>
      <c r="J622" s="29" t="str">
        <f t="shared" si="8"/>
        <v/>
      </c>
      <c r="L622" s="71"/>
      <c r="M622" s="71"/>
      <c r="N622" s="71"/>
      <c r="O622" s="71"/>
      <c r="P622" s="71" t="str">
        <f>IFERROR(INDEX(RECICLADORES!C:C,MATCH(D622,RECICLADORES!B:B,0)),"")</f>
        <v/>
      </c>
      <c r="Q622" s="71" t="str">
        <f>IFERROR(INDEX(RECICLADORES!O:O,MATCH(D622,RECICLADORES!B:B,0)),"")</f>
        <v/>
      </c>
      <c r="R622" s="65"/>
      <c r="S622" s="65"/>
      <c r="T622" s="71"/>
      <c r="U622" s="71"/>
      <c r="V622" s="86"/>
    </row>
    <row r="623" spans="1:22" ht="16.5" thickTop="1" thickBot="1" x14ac:dyDescent="0.3">
      <c r="A623" s="35"/>
      <c r="C623" s="13"/>
      <c r="I623" s="23"/>
      <c r="J623" s="29" t="str">
        <f t="shared" si="8"/>
        <v/>
      </c>
      <c r="L623" s="71"/>
      <c r="M623" s="71"/>
      <c r="N623" s="71"/>
      <c r="O623" s="71"/>
      <c r="P623" s="71" t="str">
        <f>IFERROR(INDEX(RECICLADORES!C:C,MATCH(D623,RECICLADORES!B:B,0)),"")</f>
        <v/>
      </c>
      <c r="Q623" s="71" t="str">
        <f>IFERROR(INDEX(RECICLADORES!O:O,MATCH(D623,RECICLADORES!B:B,0)),"")</f>
        <v/>
      </c>
      <c r="R623" s="65"/>
      <c r="S623" s="65"/>
      <c r="T623" s="71"/>
      <c r="U623" s="71"/>
      <c r="V623" s="86"/>
    </row>
    <row r="624" spans="1:22" ht="16.5" thickTop="1" thickBot="1" x14ac:dyDescent="0.3">
      <c r="A624" s="34"/>
      <c r="C624" s="13"/>
      <c r="I624" s="23"/>
      <c r="J624" s="29" t="str">
        <f t="shared" si="8"/>
        <v/>
      </c>
      <c r="L624" s="71"/>
      <c r="M624" s="71"/>
      <c r="N624" s="71"/>
      <c r="O624" s="71"/>
      <c r="P624" s="71" t="str">
        <f>IFERROR(INDEX(RECICLADORES!C:C,MATCH(D624,RECICLADORES!B:B,0)),"")</f>
        <v/>
      </c>
      <c r="Q624" s="71" t="str">
        <f>IFERROR(INDEX(RECICLADORES!O:O,MATCH(D624,RECICLADORES!B:B,0)),"")</f>
        <v/>
      </c>
      <c r="R624" s="65"/>
      <c r="S624" s="65"/>
      <c r="T624" s="71"/>
      <c r="U624" s="71"/>
      <c r="V624" s="86"/>
    </row>
    <row r="625" spans="1:22" ht="16.5" thickTop="1" thickBot="1" x14ac:dyDescent="0.3">
      <c r="A625" s="35"/>
      <c r="C625" s="13"/>
      <c r="I625" s="23"/>
      <c r="J625" s="29" t="str">
        <f t="shared" si="8"/>
        <v/>
      </c>
      <c r="L625" s="71"/>
      <c r="M625" s="71"/>
      <c r="N625" s="71"/>
      <c r="O625" s="71"/>
      <c r="P625" s="71" t="str">
        <f>IFERROR(INDEX(RECICLADORES!C:C,MATCH(D625,RECICLADORES!B:B,0)),"")</f>
        <v/>
      </c>
      <c r="Q625" s="71" t="str">
        <f>IFERROR(INDEX(RECICLADORES!O:O,MATCH(D625,RECICLADORES!B:B,0)),"")</f>
        <v/>
      </c>
      <c r="R625" s="65"/>
      <c r="S625" s="65"/>
      <c r="T625" s="71"/>
      <c r="U625" s="71"/>
      <c r="V625" s="86"/>
    </row>
    <row r="626" spans="1:22" ht="16.5" thickTop="1" thickBot="1" x14ac:dyDescent="0.3">
      <c r="A626" s="34"/>
      <c r="C626" s="13"/>
      <c r="I626" s="23"/>
      <c r="J626" s="29" t="str">
        <f t="shared" si="8"/>
        <v/>
      </c>
      <c r="L626" s="71"/>
      <c r="M626" s="71"/>
      <c r="N626" s="71"/>
      <c r="O626" s="71"/>
      <c r="P626" s="71" t="str">
        <f>IFERROR(INDEX(RECICLADORES!C:C,MATCH(D626,RECICLADORES!B:B,0)),"")</f>
        <v/>
      </c>
      <c r="Q626" s="71" t="str">
        <f>IFERROR(INDEX(RECICLADORES!O:O,MATCH(D626,RECICLADORES!B:B,0)),"")</f>
        <v/>
      </c>
      <c r="R626" s="65"/>
      <c r="S626" s="65"/>
      <c r="T626" s="71"/>
      <c r="U626" s="71"/>
      <c r="V626" s="86"/>
    </row>
    <row r="627" spans="1:22" ht="16.5" thickTop="1" thickBot="1" x14ac:dyDescent="0.3">
      <c r="A627" s="35"/>
      <c r="C627" s="13"/>
      <c r="I627" s="23"/>
      <c r="J627" s="29" t="str">
        <f t="shared" si="8"/>
        <v/>
      </c>
      <c r="L627" s="71"/>
      <c r="M627" s="71"/>
      <c r="N627" s="71"/>
      <c r="O627" s="71"/>
      <c r="P627" s="71" t="str">
        <f>IFERROR(INDEX(RECICLADORES!C:C,MATCH(D627,RECICLADORES!B:B,0)),"")</f>
        <v/>
      </c>
      <c r="Q627" s="71" t="str">
        <f>IFERROR(INDEX(RECICLADORES!O:O,MATCH(D627,RECICLADORES!B:B,0)),"")</f>
        <v/>
      </c>
      <c r="R627" s="65"/>
      <c r="S627" s="65"/>
      <c r="T627" s="71"/>
      <c r="U627" s="71"/>
      <c r="V627" s="86"/>
    </row>
    <row r="628" spans="1:22" ht="16.5" thickTop="1" thickBot="1" x14ac:dyDescent="0.3">
      <c r="A628" s="35"/>
      <c r="C628" s="13"/>
      <c r="I628" s="23"/>
      <c r="J628" s="29" t="str">
        <f t="shared" si="8"/>
        <v/>
      </c>
      <c r="L628" s="71"/>
      <c r="M628" s="71"/>
      <c r="N628" s="71"/>
      <c r="O628" s="71"/>
      <c r="P628" s="71" t="str">
        <f>IFERROR(INDEX(RECICLADORES!C:C,MATCH(D628,RECICLADORES!B:B,0)),"")</f>
        <v/>
      </c>
      <c r="Q628" s="71" t="str">
        <f>IFERROR(INDEX(RECICLADORES!O:O,MATCH(D628,RECICLADORES!B:B,0)),"")</f>
        <v/>
      </c>
      <c r="R628" s="65"/>
      <c r="S628" s="65"/>
      <c r="T628" s="71"/>
      <c r="U628" s="71"/>
      <c r="V628" s="86"/>
    </row>
    <row r="629" spans="1:22" ht="16.5" thickTop="1" thickBot="1" x14ac:dyDescent="0.3">
      <c r="A629" s="34"/>
      <c r="C629" s="13"/>
      <c r="I629" s="23"/>
      <c r="J629" s="29" t="str">
        <f t="shared" si="8"/>
        <v/>
      </c>
      <c r="L629" s="71"/>
      <c r="M629" s="71"/>
      <c r="N629" s="71"/>
      <c r="O629" s="71"/>
      <c r="P629" s="71" t="str">
        <f>IFERROR(INDEX(RECICLADORES!C:C,MATCH(D629,RECICLADORES!B:B,0)),"")</f>
        <v/>
      </c>
      <c r="Q629" s="71" t="str">
        <f>IFERROR(INDEX(RECICLADORES!O:O,MATCH(D629,RECICLADORES!B:B,0)),"")</f>
        <v/>
      </c>
      <c r="R629" s="65"/>
      <c r="S629" s="65"/>
      <c r="T629" s="71"/>
      <c r="U629" s="71"/>
      <c r="V629" s="86"/>
    </row>
    <row r="630" spans="1:22" ht="16.5" thickTop="1" thickBot="1" x14ac:dyDescent="0.3">
      <c r="A630" s="35"/>
      <c r="C630" s="13"/>
      <c r="I630" s="23"/>
      <c r="J630" s="29" t="str">
        <f t="shared" si="8"/>
        <v/>
      </c>
      <c r="L630" s="71"/>
      <c r="M630" s="71"/>
      <c r="N630" s="71"/>
      <c r="O630" s="71"/>
      <c r="P630" s="71" t="str">
        <f>IFERROR(INDEX(RECICLADORES!C:C,MATCH(D630,RECICLADORES!B:B,0)),"")</f>
        <v/>
      </c>
      <c r="Q630" s="71" t="str">
        <f>IFERROR(INDEX(RECICLADORES!O:O,MATCH(D630,RECICLADORES!B:B,0)),"")</f>
        <v/>
      </c>
      <c r="R630" s="65"/>
      <c r="S630" s="65"/>
      <c r="T630" s="71"/>
      <c r="U630" s="71"/>
      <c r="V630" s="86"/>
    </row>
    <row r="631" spans="1:22" ht="16.5" thickTop="1" thickBot="1" x14ac:dyDescent="0.3">
      <c r="A631" s="34"/>
      <c r="C631" s="13"/>
      <c r="I631" s="23"/>
      <c r="J631" s="29" t="str">
        <f t="shared" si="8"/>
        <v/>
      </c>
      <c r="L631" s="71"/>
      <c r="M631" s="71"/>
      <c r="N631" s="71"/>
      <c r="O631" s="71"/>
      <c r="P631" s="71" t="str">
        <f>IFERROR(INDEX(RECICLADORES!C:C,MATCH(D631,RECICLADORES!B:B,0)),"")</f>
        <v/>
      </c>
      <c r="Q631" s="71" t="str">
        <f>IFERROR(INDEX(RECICLADORES!O:O,MATCH(D631,RECICLADORES!B:B,0)),"")</f>
        <v/>
      </c>
      <c r="R631" s="65"/>
      <c r="S631" s="65"/>
      <c r="T631" s="71"/>
      <c r="U631" s="71"/>
      <c r="V631" s="86"/>
    </row>
    <row r="632" spans="1:22" ht="16.5" thickTop="1" thickBot="1" x14ac:dyDescent="0.3">
      <c r="A632" s="35"/>
      <c r="C632" s="13"/>
      <c r="I632" s="23"/>
      <c r="J632" s="29" t="str">
        <f t="shared" si="8"/>
        <v/>
      </c>
      <c r="L632" s="71"/>
      <c r="M632" s="71"/>
      <c r="N632" s="71"/>
      <c r="O632" s="71"/>
      <c r="P632" s="71" t="str">
        <f>IFERROR(INDEX(RECICLADORES!C:C,MATCH(D632,RECICLADORES!B:B,0)),"")</f>
        <v/>
      </c>
      <c r="Q632" s="71" t="str">
        <f>IFERROR(INDEX(RECICLADORES!O:O,MATCH(D632,RECICLADORES!B:B,0)),"")</f>
        <v/>
      </c>
      <c r="R632" s="65"/>
      <c r="S632" s="65"/>
      <c r="T632" s="71"/>
      <c r="U632" s="71"/>
      <c r="V632" s="86"/>
    </row>
    <row r="633" spans="1:22" ht="16.5" thickTop="1" thickBot="1" x14ac:dyDescent="0.3">
      <c r="A633" s="34"/>
      <c r="C633" s="13"/>
      <c r="I633" s="23"/>
      <c r="J633" s="29" t="str">
        <f t="shared" si="8"/>
        <v/>
      </c>
      <c r="L633" s="71"/>
      <c r="M633" s="71"/>
      <c r="N633" s="71"/>
      <c r="O633" s="71"/>
      <c r="P633" s="71" t="str">
        <f>IFERROR(INDEX(RECICLADORES!C:C,MATCH(D633,RECICLADORES!B:B,0)),"")</f>
        <v/>
      </c>
      <c r="Q633" s="71" t="str">
        <f>IFERROR(INDEX(RECICLADORES!O:O,MATCH(D633,RECICLADORES!B:B,0)),"")</f>
        <v/>
      </c>
      <c r="R633" s="65"/>
      <c r="S633" s="65"/>
      <c r="T633" s="71"/>
      <c r="U633" s="71"/>
      <c r="V633" s="86"/>
    </row>
    <row r="634" spans="1:22" ht="16.5" thickTop="1" thickBot="1" x14ac:dyDescent="0.3">
      <c r="A634" s="35"/>
      <c r="C634" s="13"/>
      <c r="I634" s="23"/>
      <c r="J634" s="29" t="str">
        <f t="shared" si="8"/>
        <v/>
      </c>
      <c r="L634" s="71"/>
      <c r="M634" s="71"/>
      <c r="N634" s="71"/>
      <c r="O634" s="71"/>
      <c r="P634" s="71" t="str">
        <f>IFERROR(INDEX(RECICLADORES!C:C,MATCH(D634,RECICLADORES!B:B,0)),"")</f>
        <v/>
      </c>
      <c r="Q634" s="71" t="str">
        <f>IFERROR(INDEX(RECICLADORES!O:O,MATCH(D634,RECICLADORES!B:B,0)),"")</f>
        <v/>
      </c>
      <c r="R634" s="65"/>
      <c r="S634" s="65"/>
      <c r="T634" s="71"/>
      <c r="U634" s="71"/>
      <c r="V634" s="86"/>
    </row>
    <row r="635" spans="1:22" ht="16.5" thickTop="1" thickBot="1" x14ac:dyDescent="0.3">
      <c r="A635" s="34"/>
      <c r="C635" s="13"/>
      <c r="I635" s="23"/>
      <c r="J635" s="29" t="str">
        <f t="shared" si="8"/>
        <v/>
      </c>
      <c r="L635" s="71"/>
      <c r="M635" s="71"/>
      <c r="N635" s="71"/>
      <c r="O635" s="71"/>
      <c r="P635" s="71" t="str">
        <f>IFERROR(INDEX(RECICLADORES!C:C,MATCH(D635,RECICLADORES!B:B,0)),"")</f>
        <v/>
      </c>
      <c r="Q635" s="71" t="str">
        <f>IFERROR(INDEX(RECICLADORES!O:O,MATCH(D635,RECICLADORES!B:B,0)),"")</f>
        <v/>
      </c>
      <c r="R635" s="65"/>
      <c r="S635" s="65"/>
      <c r="T635" s="71"/>
      <c r="U635" s="71"/>
      <c r="V635" s="86"/>
    </row>
    <row r="636" spans="1:22" ht="16.5" thickTop="1" thickBot="1" x14ac:dyDescent="0.3">
      <c r="A636" s="35"/>
      <c r="C636" s="13"/>
      <c r="I636" s="23"/>
      <c r="J636" s="29" t="str">
        <f t="shared" si="8"/>
        <v/>
      </c>
      <c r="L636" s="71"/>
      <c r="M636" s="71"/>
      <c r="N636" s="71"/>
      <c r="O636" s="71"/>
      <c r="P636" s="71" t="str">
        <f>IFERROR(INDEX(RECICLADORES!C:C,MATCH(D636,RECICLADORES!B:B,0)),"")</f>
        <v/>
      </c>
      <c r="Q636" s="71" t="str">
        <f>IFERROR(INDEX(RECICLADORES!O:O,MATCH(D636,RECICLADORES!B:B,0)),"")</f>
        <v/>
      </c>
      <c r="R636" s="65"/>
      <c r="S636" s="65"/>
      <c r="T636" s="71"/>
      <c r="U636" s="71"/>
      <c r="V636" s="86"/>
    </row>
    <row r="637" spans="1:22" ht="16.5" thickTop="1" thickBot="1" x14ac:dyDescent="0.3">
      <c r="A637" s="34"/>
      <c r="C637" s="13"/>
      <c r="I637" s="23"/>
      <c r="J637" s="29" t="str">
        <f t="shared" si="8"/>
        <v/>
      </c>
      <c r="L637" s="71"/>
      <c r="M637" s="71"/>
      <c r="N637" s="71"/>
      <c r="O637" s="71"/>
      <c r="P637" s="71" t="str">
        <f>IFERROR(INDEX(RECICLADORES!C:C,MATCH(D637,RECICLADORES!B:B,0)),"")</f>
        <v/>
      </c>
      <c r="Q637" s="71" t="str">
        <f>IFERROR(INDEX(RECICLADORES!O:O,MATCH(D637,RECICLADORES!B:B,0)),"")</f>
        <v/>
      </c>
      <c r="R637" s="65"/>
      <c r="S637" s="65"/>
      <c r="T637" s="71"/>
      <c r="U637" s="71"/>
      <c r="V637" s="86"/>
    </row>
    <row r="638" spans="1:22" ht="16.5" thickTop="1" thickBot="1" x14ac:dyDescent="0.3">
      <c r="A638" s="35"/>
      <c r="C638" s="13"/>
      <c r="I638" s="23"/>
      <c r="J638" s="29" t="str">
        <f t="shared" si="8"/>
        <v/>
      </c>
      <c r="L638" s="71"/>
      <c r="M638" s="71"/>
      <c r="N638" s="71"/>
      <c r="O638" s="71"/>
      <c r="P638" s="71" t="str">
        <f>IFERROR(INDEX(RECICLADORES!C:C,MATCH(D638,RECICLADORES!B:B,0)),"")</f>
        <v/>
      </c>
      <c r="Q638" s="71" t="str">
        <f>IFERROR(INDEX(RECICLADORES!O:O,MATCH(D638,RECICLADORES!B:B,0)),"")</f>
        <v/>
      </c>
      <c r="R638" s="65"/>
      <c r="S638" s="65"/>
      <c r="T638" s="71"/>
      <c r="U638" s="71"/>
      <c r="V638" s="86"/>
    </row>
    <row r="639" spans="1:22" ht="16.5" thickTop="1" thickBot="1" x14ac:dyDescent="0.3">
      <c r="A639" s="34"/>
      <c r="C639" s="13"/>
      <c r="I639" s="23"/>
      <c r="J639" s="29" t="str">
        <f t="shared" si="8"/>
        <v/>
      </c>
      <c r="L639" s="71"/>
      <c r="M639" s="71"/>
      <c r="N639" s="71"/>
      <c r="O639" s="71"/>
      <c r="P639" s="71" t="str">
        <f>IFERROR(INDEX(RECICLADORES!C:C,MATCH(D639,RECICLADORES!B:B,0)),"")</f>
        <v/>
      </c>
      <c r="Q639" s="71" t="str">
        <f>IFERROR(INDEX(RECICLADORES!O:O,MATCH(D639,RECICLADORES!B:B,0)),"")</f>
        <v/>
      </c>
      <c r="R639" s="65"/>
      <c r="S639" s="65"/>
      <c r="T639" s="71"/>
      <c r="U639" s="71"/>
      <c r="V639" s="86"/>
    </row>
    <row r="640" spans="1:22" ht="16.5" thickTop="1" thickBot="1" x14ac:dyDescent="0.3">
      <c r="A640" s="35"/>
      <c r="C640" s="13"/>
      <c r="I640" s="23"/>
      <c r="J640" s="29" t="str">
        <f t="shared" si="8"/>
        <v/>
      </c>
      <c r="L640" s="71"/>
      <c r="M640" s="71"/>
      <c r="N640" s="71"/>
      <c r="O640" s="71"/>
      <c r="P640" s="71" t="str">
        <f>IFERROR(INDEX(RECICLADORES!C:C,MATCH(D640,RECICLADORES!B:B,0)),"")</f>
        <v/>
      </c>
      <c r="Q640" s="71" t="str">
        <f>IFERROR(INDEX(RECICLADORES!O:O,MATCH(D640,RECICLADORES!B:B,0)),"")</f>
        <v/>
      </c>
      <c r="R640" s="65"/>
      <c r="S640" s="65"/>
      <c r="T640" s="71"/>
      <c r="U640" s="71"/>
      <c r="V640" s="86"/>
    </row>
    <row r="641" spans="1:22" ht="16.5" thickTop="1" thickBot="1" x14ac:dyDescent="0.3">
      <c r="A641" s="34"/>
      <c r="C641" s="13"/>
      <c r="I641" s="23"/>
      <c r="J641" s="29" t="str">
        <f t="shared" si="8"/>
        <v/>
      </c>
      <c r="L641" s="71"/>
      <c r="M641" s="71"/>
      <c r="N641" s="71"/>
      <c r="O641" s="71"/>
      <c r="P641" s="71" t="str">
        <f>IFERROR(INDEX(RECICLADORES!C:C,MATCH(D641,RECICLADORES!B:B,0)),"")</f>
        <v/>
      </c>
      <c r="Q641" s="71" t="str">
        <f>IFERROR(INDEX(RECICLADORES!O:O,MATCH(D641,RECICLADORES!B:B,0)),"")</f>
        <v/>
      </c>
      <c r="R641" s="65"/>
      <c r="S641" s="65"/>
      <c r="T641" s="71"/>
      <c r="U641" s="71"/>
      <c r="V641" s="86"/>
    </row>
    <row r="642" spans="1:22" ht="16.5" thickTop="1" thickBot="1" x14ac:dyDescent="0.3">
      <c r="A642" s="35"/>
      <c r="C642" s="13"/>
      <c r="I642" s="23"/>
      <c r="J642" s="29" t="str">
        <f t="shared" si="8"/>
        <v/>
      </c>
      <c r="L642" s="71"/>
      <c r="M642" s="71"/>
      <c r="N642" s="71"/>
      <c r="O642" s="71"/>
      <c r="P642" s="71" t="str">
        <f>IFERROR(INDEX(RECICLADORES!C:C,MATCH(D642,RECICLADORES!B:B,0)),"")</f>
        <v/>
      </c>
      <c r="Q642" s="71" t="str">
        <f>IFERROR(INDEX(RECICLADORES!O:O,MATCH(D642,RECICLADORES!B:B,0)),"")</f>
        <v/>
      </c>
      <c r="R642" s="65"/>
      <c r="S642" s="65"/>
      <c r="T642" s="71"/>
      <c r="U642" s="71"/>
      <c r="V642" s="86"/>
    </row>
    <row r="643" spans="1:22" ht="16.5" thickTop="1" thickBot="1" x14ac:dyDescent="0.3">
      <c r="A643" s="34"/>
      <c r="C643" s="13"/>
      <c r="I643" s="23"/>
      <c r="J643" s="29" t="str">
        <f t="shared" si="8"/>
        <v/>
      </c>
      <c r="L643" s="71"/>
      <c r="M643" s="71"/>
      <c r="N643" s="71"/>
      <c r="O643" s="71"/>
      <c r="P643" s="71" t="str">
        <f>IFERROR(INDEX(RECICLADORES!C:C,MATCH(D643,RECICLADORES!B:B,0)),"")</f>
        <v/>
      </c>
      <c r="Q643" s="71" t="str">
        <f>IFERROR(INDEX(RECICLADORES!O:O,MATCH(D643,RECICLADORES!B:B,0)),"")</f>
        <v/>
      </c>
      <c r="R643" s="65"/>
      <c r="S643" s="65"/>
      <c r="T643" s="71"/>
      <c r="U643" s="71"/>
      <c r="V643" s="86"/>
    </row>
    <row r="644" spans="1:22" ht="16.5" thickTop="1" thickBot="1" x14ac:dyDescent="0.3">
      <c r="A644" s="35"/>
      <c r="C644" s="13"/>
      <c r="I644" s="23"/>
      <c r="J644" s="29" t="str">
        <f t="shared" si="8"/>
        <v/>
      </c>
      <c r="L644" s="71"/>
      <c r="M644" s="71"/>
      <c r="N644" s="71"/>
      <c r="O644" s="71"/>
      <c r="P644" s="71" t="str">
        <f>IFERROR(INDEX(RECICLADORES!C:C,MATCH(D644,RECICLADORES!B:B,0)),"")</f>
        <v/>
      </c>
      <c r="Q644" s="71" t="str">
        <f>IFERROR(INDEX(RECICLADORES!O:O,MATCH(D644,RECICLADORES!B:B,0)),"")</f>
        <v/>
      </c>
      <c r="R644" s="65"/>
      <c r="S644" s="65"/>
      <c r="T644" s="71"/>
      <c r="U644" s="71"/>
      <c r="V644" s="86"/>
    </row>
    <row r="645" spans="1:22" ht="16.5" thickTop="1" thickBot="1" x14ac:dyDescent="0.3">
      <c r="A645" s="34"/>
      <c r="C645" s="13"/>
      <c r="I645" s="23"/>
      <c r="J645" s="29" t="str">
        <f t="shared" si="8"/>
        <v/>
      </c>
      <c r="L645" s="71"/>
      <c r="M645" s="71"/>
      <c r="N645" s="71"/>
      <c r="O645" s="71"/>
      <c r="P645" s="71" t="str">
        <f>IFERROR(INDEX(RECICLADORES!C:C,MATCH(D645,RECICLADORES!B:B,0)),"")</f>
        <v/>
      </c>
      <c r="Q645" s="71" t="str">
        <f>IFERROR(INDEX(RECICLADORES!O:O,MATCH(D645,RECICLADORES!B:B,0)),"")</f>
        <v/>
      </c>
      <c r="R645" s="65"/>
      <c r="S645" s="65"/>
      <c r="T645" s="71"/>
      <c r="U645" s="71"/>
      <c r="V645" s="86"/>
    </row>
    <row r="646" spans="1:22" ht="16.5" thickTop="1" thickBot="1" x14ac:dyDescent="0.3">
      <c r="A646" s="35"/>
      <c r="C646" s="13"/>
      <c r="I646" s="23"/>
      <c r="J646" s="29" t="str">
        <f t="shared" si="8"/>
        <v/>
      </c>
      <c r="L646" s="71"/>
      <c r="M646" s="71"/>
      <c r="N646" s="71"/>
      <c r="O646" s="71"/>
      <c r="P646" s="71" t="str">
        <f>IFERROR(INDEX(RECICLADORES!C:C,MATCH(D646,RECICLADORES!B:B,0)),"")</f>
        <v/>
      </c>
      <c r="Q646" s="71" t="str">
        <f>IFERROR(INDEX(RECICLADORES!O:O,MATCH(D646,RECICLADORES!B:B,0)),"")</f>
        <v/>
      </c>
      <c r="R646" s="65"/>
      <c r="S646" s="65"/>
      <c r="T646" s="71"/>
      <c r="U646" s="71"/>
      <c r="V646" s="86"/>
    </row>
    <row r="647" spans="1:22" ht="16.5" thickTop="1" thickBot="1" x14ac:dyDescent="0.3">
      <c r="A647" s="34"/>
      <c r="C647" s="13"/>
      <c r="I647" s="23"/>
      <c r="J647" s="29" t="str">
        <f t="shared" si="8"/>
        <v/>
      </c>
      <c r="L647" s="71"/>
      <c r="M647" s="71"/>
      <c r="N647" s="71"/>
      <c r="O647" s="71"/>
      <c r="P647" s="71" t="str">
        <f>IFERROR(INDEX(RECICLADORES!C:C,MATCH(D647,RECICLADORES!B:B,0)),"")</f>
        <v/>
      </c>
      <c r="Q647" s="71" t="str">
        <f>IFERROR(INDEX(RECICLADORES!O:O,MATCH(D647,RECICLADORES!B:B,0)),"")</f>
        <v/>
      </c>
      <c r="R647" s="65"/>
      <c r="S647" s="65"/>
      <c r="T647" s="71"/>
      <c r="U647" s="71"/>
      <c r="V647" s="86"/>
    </row>
    <row r="648" spans="1:22" ht="16.5" thickTop="1" thickBot="1" x14ac:dyDescent="0.3">
      <c r="A648" s="35"/>
      <c r="C648" s="13"/>
      <c r="I648" s="23"/>
      <c r="J648" s="29" t="str">
        <f t="shared" si="8"/>
        <v/>
      </c>
      <c r="L648" s="71"/>
      <c r="M648" s="71"/>
      <c r="N648" s="71"/>
      <c r="O648" s="71"/>
      <c r="P648" s="71" t="str">
        <f>IFERROR(INDEX(RECICLADORES!C:C,MATCH(D648,RECICLADORES!B:B,0)),"")</f>
        <v/>
      </c>
      <c r="Q648" s="71" t="str">
        <f>IFERROR(INDEX(RECICLADORES!O:O,MATCH(D648,RECICLADORES!B:B,0)),"")</f>
        <v/>
      </c>
      <c r="R648" s="65"/>
      <c r="S648" s="65"/>
      <c r="T648" s="71"/>
      <c r="U648" s="71"/>
      <c r="V648" s="86"/>
    </row>
    <row r="649" spans="1:22" ht="16.5" thickTop="1" thickBot="1" x14ac:dyDescent="0.3">
      <c r="A649" s="34"/>
      <c r="C649" s="13"/>
      <c r="I649" s="23"/>
      <c r="J649" s="29" t="str">
        <f t="shared" si="8"/>
        <v/>
      </c>
      <c r="L649" s="71"/>
      <c r="M649" s="71"/>
      <c r="N649" s="71"/>
      <c r="O649" s="71"/>
      <c r="P649" s="71" t="str">
        <f>IFERROR(INDEX(RECICLADORES!C:C,MATCH(D649,RECICLADORES!B:B,0)),"")</f>
        <v/>
      </c>
      <c r="Q649" s="71" t="str">
        <f>IFERROR(INDEX(RECICLADORES!O:O,MATCH(D649,RECICLADORES!B:B,0)),"")</f>
        <v/>
      </c>
      <c r="R649" s="65"/>
      <c r="S649" s="65"/>
      <c r="T649" s="71"/>
      <c r="U649" s="71"/>
      <c r="V649" s="86"/>
    </row>
    <row r="650" spans="1:22" ht="16.5" thickTop="1" thickBot="1" x14ac:dyDescent="0.3">
      <c r="A650" s="35"/>
      <c r="C650" s="13"/>
      <c r="I650" s="23"/>
      <c r="J650" s="29" t="str">
        <f t="shared" si="8"/>
        <v/>
      </c>
      <c r="L650" s="71"/>
      <c r="M650" s="71"/>
      <c r="N650" s="71"/>
      <c r="O650" s="71"/>
      <c r="P650" s="71" t="str">
        <f>IFERROR(INDEX(RECICLADORES!C:C,MATCH(D650,RECICLADORES!B:B,0)),"")</f>
        <v/>
      </c>
      <c r="Q650" s="71" t="str">
        <f>IFERROR(INDEX(RECICLADORES!O:O,MATCH(D650,RECICLADORES!B:B,0)),"")</f>
        <v/>
      </c>
      <c r="R650" s="65"/>
      <c r="S650" s="65"/>
      <c r="T650" s="71"/>
      <c r="U650" s="71"/>
      <c r="V650" s="86"/>
    </row>
    <row r="651" spans="1:22" ht="16.5" thickTop="1" thickBot="1" x14ac:dyDescent="0.3">
      <c r="A651" s="34"/>
      <c r="C651" s="13"/>
      <c r="I651" s="23"/>
      <c r="J651" s="29" t="str">
        <f t="shared" si="8"/>
        <v/>
      </c>
      <c r="L651" s="71"/>
      <c r="M651" s="71"/>
      <c r="N651" s="71"/>
      <c r="O651" s="71"/>
      <c r="P651" s="71" t="str">
        <f>IFERROR(INDEX(RECICLADORES!C:C,MATCH(D651,RECICLADORES!B:B,0)),"")</f>
        <v/>
      </c>
      <c r="Q651" s="71" t="str">
        <f>IFERROR(INDEX(RECICLADORES!O:O,MATCH(D651,RECICLADORES!B:B,0)),"")</f>
        <v/>
      </c>
      <c r="R651" s="65"/>
      <c r="S651" s="65"/>
      <c r="T651" s="71"/>
      <c r="U651" s="71"/>
      <c r="V651" s="86"/>
    </row>
    <row r="652" spans="1:22" ht="16.5" thickTop="1" thickBot="1" x14ac:dyDescent="0.3">
      <c r="A652" s="35"/>
      <c r="C652" s="13"/>
      <c r="I652" s="23"/>
      <c r="J652" s="29" t="str">
        <f t="shared" si="8"/>
        <v/>
      </c>
      <c r="L652" s="71"/>
      <c r="M652" s="71"/>
      <c r="N652" s="71"/>
      <c r="O652" s="71"/>
      <c r="P652" s="71" t="str">
        <f>IFERROR(INDEX(RECICLADORES!C:C,MATCH(D652,RECICLADORES!B:B,0)),"")</f>
        <v/>
      </c>
      <c r="Q652" s="71" t="str">
        <f>IFERROR(INDEX(RECICLADORES!O:O,MATCH(D652,RECICLADORES!B:B,0)),"")</f>
        <v/>
      </c>
      <c r="R652" s="65"/>
      <c r="S652" s="65"/>
      <c r="T652" s="71"/>
      <c r="U652" s="71"/>
      <c r="V652" s="86"/>
    </row>
    <row r="653" spans="1:22" ht="16.5" thickTop="1" thickBot="1" x14ac:dyDescent="0.3">
      <c r="A653" s="34"/>
      <c r="C653" s="13"/>
      <c r="I653" s="23"/>
      <c r="J653" s="29" t="str">
        <f t="shared" si="8"/>
        <v/>
      </c>
      <c r="L653" s="71"/>
      <c r="M653" s="71"/>
      <c r="N653" s="71"/>
      <c r="O653" s="71"/>
      <c r="P653" s="71" t="str">
        <f>IFERROR(INDEX(RECICLADORES!C:C,MATCH(D653,RECICLADORES!B:B,0)),"")</f>
        <v/>
      </c>
      <c r="Q653" s="71" t="str">
        <f>IFERROR(INDEX(RECICLADORES!O:O,MATCH(D653,RECICLADORES!B:B,0)),"")</f>
        <v/>
      </c>
      <c r="R653" s="65"/>
      <c r="S653" s="65"/>
      <c r="T653" s="71"/>
      <c r="U653" s="71"/>
      <c r="V653" s="86"/>
    </row>
    <row r="654" spans="1:22" ht="16.5" thickTop="1" thickBot="1" x14ac:dyDescent="0.3">
      <c r="A654" s="35"/>
      <c r="C654" s="13"/>
      <c r="I654" s="23"/>
      <c r="J654" s="29" t="str">
        <f t="shared" si="8"/>
        <v/>
      </c>
      <c r="L654" s="71"/>
      <c r="M654" s="71"/>
      <c r="N654" s="71"/>
      <c r="O654" s="71"/>
      <c r="P654" s="71" t="str">
        <f>IFERROR(INDEX(RECICLADORES!C:C,MATCH(D654,RECICLADORES!B:B,0)),"")</f>
        <v/>
      </c>
      <c r="Q654" s="71" t="str">
        <f>IFERROR(INDEX(RECICLADORES!O:O,MATCH(D654,RECICLADORES!B:B,0)),"")</f>
        <v/>
      </c>
      <c r="R654" s="65"/>
      <c r="S654" s="65"/>
      <c r="T654" s="71"/>
      <c r="U654" s="71"/>
      <c r="V654" s="86"/>
    </row>
    <row r="655" spans="1:22" ht="16.5" thickTop="1" thickBot="1" x14ac:dyDescent="0.3">
      <c r="A655" s="34"/>
      <c r="C655" s="13"/>
      <c r="I655" s="23"/>
      <c r="J655" s="29" t="str">
        <f t="shared" si="8"/>
        <v/>
      </c>
      <c r="L655" s="71"/>
      <c r="M655" s="71"/>
      <c r="N655" s="71"/>
      <c r="O655" s="71"/>
      <c r="P655" s="71" t="str">
        <f>IFERROR(INDEX(RECICLADORES!C:C,MATCH(D655,RECICLADORES!B:B,0)),"")</f>
        <v/>
      </c>
      <c r="Q655" s="71" t="str">
        <f>IFERROR(INDEX(RECICLADORES!O:O,MATCH(D655,RECICLADORES!B:B,0)),"")</f>
        <v/>
      </c>
      <c r="R655" s="65"/>
      <c r="S655" s="65"/>
      <c r="T655" s="71"/>
      <c r="U655" s="71"/>
      <c r="V655" s="86"/>
    </row>
    <row r="656" spans="1:22" ht="16.5" thickTop="1" thickBot="1" x14ac:dyDescent="0.3">
      <c r="A656" s="35"/>
      <c r="C656" s="13"/>
      <c r="I656" s="23"/>
      <c r="J656" s="29" t="str">
        <f t="shared" si="8"/>
        <v/>
      </c>
      <c r="L656" s="71"/>
      <c r="M656" s="71"/>
      <c r="N656" s="71"/>
      <c r="O656" s="71"/>
      <c r="P656" s="71" t="str">
        <f>IFERROR(INDEX(RECICLADORES!C:C,MATCH(D656,RECICLADORES!B:B,0)),"")</f>
        <v/>
      </c>
      <c r="Q656" s="71" t="str">
        <f>IFERROR(INDEX(RECICLADORES!O:O,MATCH(D656,RECICLADORES!B:B,0)),"")</f>
        <v/>
      </c>
      <c r="R656" s="65"/>
      <c r="S656" s="65"/>
      <c r="T656" s="71"/>
      <c r="U656" s="71"/>
      <c r="V656" s="86"/>
    </row>
    <row r="657" spans="1:22" ht="16.5" thickTop="1" thickBot="1" x14ac:dyDescent="0.3">
      <c r="A657" s="35"/>
      <c r="C657" s="13"/>
      <c r="I657" s="23"/>
      <c r="J657" s="29" t="str">
        <f t="shared" si="8"/>
        <v/>
      </c>
      <c r="L657" s="71"/>
      <c r="M657" s="71"/>
      <c r="N657" s="71"/>
      <c r="O657" s="71"/>
      <c r="P657" s="71" t="str">
        <f>IFERROR(INDEX(RECICLADORES!C:C,MATCH(D657,RECICLADORES!B:B,0)),"")</f>
        <v/>
      </c>
      <c r="Q657" s="71" t="str">
        <f>IFERROR(INDEX(RECICLADORES!O:O,MATCH(D657,RECICLADORES!B:B,0)),"")</f>
        <v/>
      </c>
      <c r="R657" s="65"/>
      <c r="S657" s="65"/>
      <c r="T657" s="71"/>
      <c r="U657" s="71"/>
      <c r="V657" s="86"/>
    </row>
    <row r="658" spans="1:22" ht="16.5" thickTop="1" thickBot="1" x14ac:dyDescent="0.3">
      <c r="A658" s="34"/>
      <c r="C658" s="13"/>
      <c r="I658" s="23"/>
      <c r="J658" s="29" t="str">
        <f t="shared" si="8"/>
        <v/>
      </c>
      <c r="L658" s="71"/>
      <c r="M658" s="71"/>
      <c r="N658" s="71"/>
      <c r="O658" s="71"/>
      <c r="P658" s="71" t="str">
        <f>IFERROR(INDEX(RECICLADORES!C:C,MATCH(D658,RECICLADORES!B:B,0)),"")</f>
        <v/>
      </c>
      <c r="Q658" s="71" t="str">
        <f>IFERROR(INDEX(RECICLADORES!O:O,MATCH(D658,RECICLADORES!B:B,0)),"")</f>
        <v/>
      </c>
      <c r="R658" s="65"/>
      <c r="S658" s="65"/>
      <c r="T658" s="71"/>
      <c r="U658" s="71"/>
      <c r="V658" s="86"/>
    </row>
    <row r="659" spans="1:22" ht="16.5" thickTop="1" thickBot="1" x14ac:dyDescent="0.3">
      <c r="A659" s="35"/>
      <c r="C659" s="13"/>
      <c r="I659" s="23"/>
      <c r="J659" s="29" t="str">
        <f t="shared" si="8"/>
        <v/>
      </c>
      <c r="L659" s="71"/>
      <c r="M659" s="71"/>
      <c r="N659" s="71"/>
      <c r="O659" s="71"/>
      <c r="P659" s="71" t="str">
        <f>IFERROR(INDEX(RECICLADORES!C:C,MATCH(D659,RECICLADORES!B:B,0)),"")</f>
        <v/>
      </c>
      <c r="Q659" s="71" t="str">
        <f>IFERROR(INDEX(RECICLADORES!O:O,MATCH(D659,RECICLADORES!B:B,0)),"")</f>
        <v/>
      </c>
      <c r="R659" s="65"/>
      <c r="S659" s="65"/>
      <c r="T659" s="71"/>
      <c r="U659" s="71"/>
      <c r="V659" s="86"/>
    </row>
    <row r="660" spans="1:22" ht="16.5" thickTop="1" thickBot="1" x14ac:dyDescent="0.3">
      <c r="A660" s="34"/>
      <c r="C660" s="13"/>
      <c r="I660" s="23"/>
      <c r="J660" s="29" t="str">
        <f t="shared" si="8"/>
        <v/>
      </c>
      <c r="L660" s="71"/>
      <c r="M660" s="71"/>
      <c r="N660" s="71"/>
      <c r="O660" s="71"/>
      <c r="P660" s="71" t="str">
        <f>IFERROR(INDEX(RECICLADORES!C:C,MATCH(D660,RECICLADORES!B:B,0)),"")</f>
        <v/>
      </c>
      <c r="Q660" s="71" t="str">
        <f>IFERROR(INDEX(RECICLADORES!O:O,MATCH(D660,RECICLADORES!B:B,0)),"")</f>
        <v/>
      </c>
      <c r="R660" s="65"/>
      <c r="S660" s="65"/>
      <c r="T660" s="71"/>
      <c r="U660" s="71"/>
      <c r="V660" s="86"/>
    </row>
    <row r="661" spans="1:22" ht="16.5" thickTop="1" thickBot="1" x14ac:dyDescent="0.3">
      <c r="A661" s="35"/>
      <c r="C661" s="13"/>
      <c r="I661" s="23"/>
      <c r="J661" s="29" t="str">
        <f t="shared" si="8"/>
        <v/>
      </c>
      <c r="L661" s="71"/>
      <c r="M661" s="71"/>
      <c r="N661" s="71"/>
      <c r="O661" s="71"/>
      <c r="P661" s="71" t="str">
        <f>IFERROR(INDEX(RECICLADORES!C:C,MATCH(D661,RECICLADORES!B:B,0)),"")</f>
        <v/>
      </c>
      <c r="Q661" s="71" t="str">
        <f>IFERROR(INDEX(RECICLADORES!O:O,MATCH(D661,RECICLADORES!B:B,0)),"")</f>
        <v/>
      </c>
      <c r="R661" s="65"/>
      <c r="S661" s="65"/>
      <c r="T661" s="71"/>
      <c r="U661" s="71"/>
      <c r="V661" s="86"/>
    </row>
    <row r="662" spans="1:22" ht="16.5" thickTop="1" thickBot="1" x14ac:dyDescent="0.3">
      <c r="A662" s="34"/>
      <c r="C662" s="13"/>
      <c r="I662" s="23"/>
      <c r="J662" s="29" t="str">
        <f t="shared" si="8"/>
        <v/>
      </c>
      <c r="L662" s="71"/>
      <c r="M662" s="71"/>
      <c r="N662" s="71"/>
      <c r="O662" s="71"/>
      <c r="P662" s="71" t="str">
        <f>IFERROR(INDEX(RECICLADORES!C:C,MATCH(D662,RECICLADORES!B:B,0)),"")</f>
        <v/>
      </c>
      <c r="Q662" s="71" t="str">
        <f>IFERROR(INDEX(RECICLADORES!O:O,MATCH(D662,RECICLADORES!B:B,0)),"")</f>
        <v/>
      </c>
      <c r="R662" s="65"/>
      <c r="S662" s="65"/>
      <c r="T662" s="71"/>
      <c r="U662" s="71"/>
      <c r="V662" s="86"/>
    </row>
    <row r="663" spans="1:22" ht="16.5" thickTop="1" thickBot="1" x14ac:dyDescent="0.3">
      <c r="A663" s="35"/>
      <c r="C663" s="13"/>
      <c r="I663" s="23"/>
      <c r="J663" s="29" t="str">
        <f t="shared" si="8"/>
        <v/>
      </c>
      <c r="L663" s="71"/>
      <c r="M663" s="71"/>
      <c r="N663" s="71"/>
      <c r="O663" s="71"/>
      <c r="P663" s="71" t="str">
        <f>IFERROR(INDEX(RECICLADORES!C:C,MATCH(D663,RECICLADORES!B:B,0)),"")</f>
        <v/>
      </c>
      <c r="Q663" s="71" t="str">
        <f>IFERROR(INDEX(RECICLADORES!O:O,MATCH(D663,RECICLADORES!B:B,0)),"")</f>
        <v/>
      </c>
      <c r="R663" s="65"/>
      <c r="S663" s="65"/>
      <c r="T663" s="71"/>
      <c r="U663" s="71"/>
      <c r="V663" s="86"/>
    </row>
    <row r="664" spans="1:22" ht="16.5" thickTop="1" thickBot="1" x14ac:dyDescent="0.3">
      <c r="A664" s="34"/>
      <c r="C664" s="13"/>
      <c r="I664" s="23"/>
      <c r="J664" s="29" t="str">
        <f t="shared" si="8"/>
        <v/>
      </c>
      <c r="L664" s="71"/>
      <c r="M664" s="71"/>
      <c r="N664" s="71"/>
      <c r="O664" s="71"/>
      <c r="P664" s="71" t="str">
        <f>IFERROR(INDEX(RECICLADORES!C:C,MATCH(D664,RECICLADORES!B:B,0)),"")</f>
        <v/>
      </c>
      <c r="Q664" s="71" t="str">
        <f>IFERROR(INDEX(RECICLADORES!O:O,MATCH(D664,RECICLADORES!B:B,0)),"")</f>
        <v/>
      </c>
      <c r="R664" s="65"/>
      <c r="S664" s="65"/>
      <c r="T664" s="71"/>
      <c r="U664" s="71"/>
      <c r="V664" s="86"/>
    </row>
    <row r="665" spans="1:22" ht="16.5" thickTop="1" thickBot="1" x14ac:dyDescent="0.3">
      <c r="A665" s="35"/>
      <c r="C665" s="13"/>
      <c r="I665" s="23"/>
      <c r="J665" s="29" t="str">
        <f t="shared" si="8"/>
        <v/>
      </c>
      <c r="L665" s="71"/>
      <c r="M665" s="71"/>
      <c r="N665" s="71"/>
      <c r="O665" s="71"/>
      <c r="P665" s="71" t="str">
        <f>IFERROR(INDEX(RECICLADORES!C:C,MATCH(D665,RECICLADORES!B:B,0)),"")</f>
        <v/>
      </c>
      <c r="Q665" s="71" t="str">
        <f>IFERROR(INDEX(RECICLADORES!O:O,MATCH(D665,RECICLADORES!B:B,0)),"")</f>
        <v/>
      </c>
      <c r="R665" s="65"/>
      <c r="S665" s="65"/>
      <c r="T665" s="71"/>
      <c r="U665" s="71"/>
      <c r="V665" s="86"/>
    </row>
    <row r="666" spans="1:22" ht="16.5" thickTop="1" thickBot="1" x14ac:dyDescent="0.3">
      <c r="A666" s="34"/>
      <c r="C666" s="13"/>
      <c r="I666" s="23"/>
      <c r="J666" s="29" t="str">
        <f t="shared" si="8"/>
        <v/>
      </c>
      <c r="L666" s="71"/>
      <c r="M666" s="71"/>
      <c r="N666" s="71"/>
      <c r="O666" s="71"/>
      <c r="P666" s="71" t="str">
        <f>IFERROR(INDEX(RECICLADORES!C:C,MATCH(D666,RECICLADORES!B:B,0)),"")</f>
        <v/>
      </c>
      <c r="Q666" s="71" t="str">
        <f>IFERROR(INDEX(RECICLADORES!O:O,MATCH(D666,RECICLADORES!B:B,0)),"")</f>
        <v/>
      </c>
      <c r="R666" s="65"/>
      <c r="S666" s="65"/>
      <c r="T666" s="71"/>
      <c r="U666" s="71"/>
      <c r="V666" s="86"/>
    </row>
    <row r="667" spans="1:22" ht="16.5" thickTop="1" thickBot="1" x14ac:dyDescent="0.3">
      <c r="A667" s="35"/>
      <c r="C667" s="13"/>
      <c r="I667" s="23"/>
      <c r="J667" s="29" t="str">
        <f t="shared" si="8"/>
        <v/>
      </c>
      <c r="L667" s="71"/>
      <c r="M667" s="71"/>
      <c r="N667" s="71"/>
      <c r="O667" s="71"/>
      <c r="P667" s="71" t="str">
        <f>IFERROR(INDEX(RECICLADORES!C:C,MATCH(D667,RECICLADORES!B:B,0)),"")</f>
        <v/>
      </c>
      <c r="Q667" s="71" t="str">
        <f>IFERROR(INDEX(RECICLADORES!O:O,MATCH(D667,RECICLADORES!B:B,0)),"")</f>
        <v/>
      </c>
      <c r="R667" s="65"/>
      <c r="S667" s="65"/>
      <c r="T667" s="71"/>
      <c r="U667" s="71"/>
      <c r="V667" s="86"/>
    </row>
    <row r="668" spans="1:22" ht="16.5" thickTop="1" thickBot="1" x14ac:dyDescent="0.3">
      <c r="A668" s="34"/>
      <c r="C668" s="13"/>
      <c r="I668" s="23"/>
      <c r="J668" s="29" t="str">
        <f t="shared" si="8"/>
        <v/>
      </c>
      <c r="L668" s="71"/>
      <c r="M668" s="71"/>
      <c r="N668" s="71"/>
      <c r="O668" s="71"/>
      <c r="P668" s="71" t="str">
        <f>IFERROR(INDEX(RECICLADORES!C:C,MATCH(D668,RECICLADORES!B:B,0)),"")</f>
        <v/>
      </c>
      <c r="Q668" s="71" t="str">
        <f>IFERROR(INDEX(RECICLADORES!O:O,MATCH(D668,RECICLADORES!B:B,0)),"")</f>
        <v/>
      </c>
      <c r="R668" s="65"/>
      <c r="S668" s="65"/>
      <c r="T668" s="71"/>
      <c r="U668" s="71"/>
      <c r="V668" s="86"/>
    </row>
    <row r="669" spans="1:22" ht="16.5" thickTop="1" thickBot="1" x14ac:dyDescent="0.3">
      <c r="A669" s="35"/>
      <c r="C669" s="13"/>
      <c r="I669" s="23"/>
      <c r="J669" s="29" t="str">
        <f t="shared" si="8"/>
        <v/>
      </c>
      <c r="L669" s="71"/>
      <c r="M669" s="71"/>
      <c r="N669" s="71"/>
      <c r="O669" s="71"/>
      <c r="P669" s="71" t="str">
        <f>IFERROR(INDEX(RECICLADORES!C:C,MATCH(D669,RECICLADORES!B:B,0)),"")</f>
        <v/>
      </c>
      <c r="Q669" s="71" t="str">
        <f>IFERROR(INDEX(RECICLADORES!O:O,MATCH(D669,RECICLADORES!B:B,0)),"")</f>
        <v/>
      </c>
      <c r="R669" s="65"/>
      <c r="S669" s="65"/>
      <c r="T669" s="71"/>
      <c r="U669" s="71"/>
      <c r="V669" s="86"/>
    </row>
    <row r="670" spans="1:22" ht="16.5" thickTop="1" thickBot="1" x14ac:dyDescent="0.3">
      <c r="A670" s="34"/>
      <c r="C670" s="13"/>
      <c r="I670" s="23"/>
      <c r="J670" s="29" t="str">
        <f t="shared" si="8"/>
        <v/>
      </c>
      <c r="L670" s="71"/>
      <c r="M670" s="71"/>
      <c r="N670" s="71"/>
      <c r="O670" s="71"/>
      <c r="P670" s="71" t="str">
        <f>IFERROR(INDEX(RECICLADORES!C:C,MATCH(D670,RECICLADORES!B:B,0)),"")</f>
        <v/>
      </c>
      <c r="Q670" s="71" t="str">
        <f>IFERROR(INDEX(RECICLADORES!O:O,MATCH(D670,RECICLADORES!B:B,0)),"")</f>
        <v/>
      </c>
      <c r="R670" s="65"/>
      <c r="S670" s="65"/>
      <c r="T670" s="71"/>
      <c r="U670" s="71"/>
      <c r="V670" s="86"/>
    </row>
    <row r="671" spans="1:22" ht="16.5" thickTop="1" thickBot="1" x14ac:dyDescent="0.3">
      <c r="A671" s="35"/>
      <c r="C671" s="13"/>
      <c r="I671" s="23"/>
      <c r="J671" s="29" t="str">
        <f t="shared" si="8"/>
        <v/>
      </c>
      <c r="L671" s="71"/>
      <c r="M671" s="71"/>
      <c r="N671" s="71"/>
      <c r="O671" s="71"/>
      <c r="P671" s="71" t="str">
        <f>IFERROR(INDEX(RECICLADORES!C:C,MATCH(D671,RECICLADORES!B:B,0)),"")</f>
        <v/>
      </c>
      <c r="Q671" s="71" t="str">
        <f>IFERROR(INDEX(RECICLADORES!O:O,MATCH(D671,RECICLADORES!B:B,0)),"")</f>
        <v/>
      </c>
      <c r="R671" s="65"/>
      <c r="S671" s="65"/>
      <c r="T671" s="71"/>
      <c r="U671" s="71"/>
      <c r="V671" s="86"/>
    </row>
    <row r="672" spans="1:22" ht="16.5" thickTop="1" thickBot="1" x14ac:dyDescent="0.3">
      <c r="A672" s="34"/>
      <c r="C672" s="13"/>
      <c r="I672" s="23"/>
      <c r="J672" s="29" t="str">
        <f t="shared" si="8"/>
        <v/>
      </c>
      <c r="L672" s="71"/>
      <c r="M672" s="71"/>
      <c r="N672" s="71"/>
      <c r="O672" s="71"/>
      <c r="P672" s="71" t="str">
        <f>IFERROR(INDEX(RECICLADORES!C:C,MATCH(D672,RECICLADORES!B:B,0)),"")</f>
        <v/>
      </c>
      <c r="Q672" s="71" t="str">
        <f>IFERROR(INDEX(RECICLADORES!O:O,MATCH(D672,RECICLADORES!B:B,0)),"")</f>
        <v/>
      </c>
      <c r="R672" s="65"/>
      <c r="S672" s="65"/>
      <c r="T672" s="71"/>
      <c r="U672" s="71"/>
      <c r="V672" s="86"/>
    </row>
    <row r="673" spans="1:22" ht="16.5" thickTop="1" thickBot="1" x14ac:dyDescent="0.3">
      <c r="A673" s="35"/>
      <c r="C673" s="13"/>
      <c r="I673" s="23"/>
      <c r="J673" s="29" t="str">
        <f t="shared" si="8"/>
        <v/>
      </c>
      <c r="L673" s="71"/>
      <c r="M673" s="71"/>
      <c r="N673" s="71"/>
      <c r="O673" s="71"/>
      <c r="P673" s="71" t="str">
        <f>IFERROR(INDEX(RECICLADORES!C:C,MATCH(D673,RECICLADORES!B:B,0)),"")</f>
        <v/>
      </c>
      <c r="Q673" s="71" t="str">
        <f>IFERROR(INDEX(RECICLADORES!O:O,MATCH(D673,RECICLADORES!B:B,0)),"")</f>
        <v/>
      </c>
      <c r="R673" s="65"/>
      <c r="S673" s="65"/>
      <c r="T673" s="71"/>
      <c r="U673" s="71"/>
      <c r="V673" s="86"/>
    </row>
    <row r="674" spans="1:22" ht="16.5" thickTop="1" thickBot="1" x14ac:dyDescent="0.3">
      <c r="A674" s="34"/>
      <c r="C674" s="13"/>
      <c r="I674" s="23"/>
      <c r="J674" s="29" t="str">
        <f t="shared" si="8"/>
        <v/>
      </c>
      <c r="L674" s="71"/>
      <c r="M674" s="71"/>
      <c r="N674" s="71"/>
      <c r="O674" s="71"/>
      <c r="P674" s="71" t="str">
        <f>IFERROR(INDEX(RECICLADORES!C:C,MATCH(D674,RECICLADORES!B:B,0)),"")</f>
        <v/>
      </c>
      <c r="Q674" s="71" t="str">
        <f>IFERROR(INDEX(RECICLADORES!O:O,MATCH(D674,RECICLADORES!B:B,0)),"")</f>
        <v/>
      </c>
      <c r="R674" s="65"/>
      <c r="S674" s="65"/>
      <c r="T674" s="71"/>
      <c r="U674" s="71"/>
      <c r="V674" s="86"/>
    </row>
    <row r="675" spans="1:22" ht="16.5" thickTop="1" thickBot="1" x14ac:dyDescent="0.3">
      <c r="A675" s="35"/>
      <c r="C675" s="13"/>
      <c r="I675" s="23"/>
      <c r="J675" s="29" t="str">
        <f t="shared" si="8"/>
        <v/>
      </c>
      <c r="L675" s="71"/>
      <c r="M675" s="71"/>
      <c r="N675" s="71"/>
      <c r="O675" s="71"/>
      <c r="P675" s="71" t="str">
        <f>IFERROR(INDEX(RECICLADORES!C:C,MATCH(D675,RECICLADORES!B:B,0)),"")</f>
        <v/>
      </c>
      <c r="Q675" s="71" t="str">
        <f>IFERROR(INDEX(RECICLADORES!O:O,MATCH(D675,RECICLADORES!B:B,0)),"")</f>
        <v/>
      </c>
      <c r="R675" s="65"/>
      <c r="S675" s="65"/>
      <c r="T675" s="71"/>
      <c r="U675" s="71"/>
      <c r="V675" s="86"/>
    </row>
    <row r="676" spans="1:22" ht="16.5" thickTop="1" thickBot="1" x14ac:dyDescent="0.3">
      <c r="A676" s="34"/>
      <c r="C676" s="13"/>
      <c r="I676" s="23"/>
      <c r="J676" s="29" t="str">
        <f t="shared" si="8"/>
        <v/>
      </c>
      <c r="L676" s="71"/>
      <c r="M676" s="71"/>
      <c r="N676" s="71"/>
      <c r="O676" s="71"/>
      <c r="P676" s="71" t="str">
        <f>IFERROR(INDEX(RECICLADORES!C:C,MATCH(D676,RECICLADORES!B:B,0)),"")</f>
        <v/>
      </c>
      <c r="Q676" s="71" t="str">
        <f>IFERROR(INDEX(RECICLADORES!O:O,MATCH(D676,RECICLADORES!B:B,0)),"")</f>
        <v/>
      </c>
      <c r="R676" s="65"/>
      <c r="S676" s="65"/>
      <c r="T676" s="71"/>
      <c r="U676" s="71"/>
      <c r="V676" s="86"/>
    </row>
    <row r="677" spans="1:22" ht="16.5" thickTop="1" thickBot="1" x14ac:dyDescent="0.3">
      <c r="A677" s="35"/>
      <c r="C677" s="13"/>
      <c r="I677" s="23"/>
      <c r="J677" s="29" t="str">
        <f t="shared" si="8"/>
        <v/>
      </c>
      <c r="L677" s="71"/>
      <c r="M677" s="71"/>
      <c r="N677" s="71"/>
      <c r="O677" s="71"/>
      <c r="P677" s="71" t="str">
        <f>IFERROR(INDEX(RECICLADORES!C:C,MATCH(D677,RECICLADORES!B:B,0)),"")</f>
        <v/>
      </c>
      <c r="Q677" s="71" t="str">
        <f>IFERROR(INDEX(RECICLADORES!O:O,MATCH(D677,RECICLADORES!B:B,0)),"")</f>
        <v/>
      </c>
      <c r="R677" s="65"/>
      <c r="S677" s="65"/>
      <c r="T677" s="71"/>
      <c r="U677" s="71"/>
      <c r="V677" s="86"/>
    </row>
    <row r="678" spans="1:22" ht="16.5" thickTop="1" thickBot="1" x14ac:dyDescent="0.3">
      <c r="A678" s="34"/>
      <c r="C678" s="13"/>
      <c r="I678" s="23"/>
      <c r="J678" s="29" t="str">
        <f t="shared" si="8"/>
        <v/>
      </c>
      <c r="L678" s="71"/>
      <c r="M678" s="71"/>
      <c r="N678" s="71"/>
      <c r="O678" s="71"/>
      <c r="P678" s="71" t="str">
        <f>IFERROR(INDEX(RECICLADORES!C:C,MATCH(D678,RECICLADORES!B:B,0)),"")</f>
        <v/>
      </c>
      <c r="Q678" s="71" t="str">
        <f>IFERROR(INDEX(RECICLADORES!O:O,MATCH(D678,RECICLADORES!B:B,0)),"")</f>
        <v/>
      </c>
      <c r="R678" s="65"/>
      <c r="S678" s="65"/>
      <c r="T678" s="71"/>
      <c r="U678" s="71"/>
      <c r="V678" s="86"/>
    </row>
    <row r="679" spans="1:22" ht="16.5" thickTop="1" thickBot="1" x14ac:dyDescent="0.3">
      <c r="A679" s="35"/>
      <c r="C679" s="13"/>
      <c r="I679" s="23"/>
      <c r="J679" s="29" t="str">
        <f t="shared" si="8"/>
        <v/>
      </c>
      <c r="L679" s="71"/>
      <c r="M679" s="71"/>
      <c r="N679" s="71"/>
      <c r="O679" s="71"/>
      <c r="P679" s="71" t="str">
        <f>IFERROR(INDEX(RECICLADORES!C:C,MATCH(D679,RECICLADORES!B:B,0)),"")</f>
        <v/>
      </c>
      <c r="Q679" s="71" t="str">
        <f>IFERROR(INDEX(RECICLADORES!O:O,MATCH(D679,RECICLADORES!B:B,0)),"")</f>
        <v/>
      </c>
      <c r="R679" s="65"/>
      <c r="S679" s="65"/>
      <c r="T679" s="71"/>
      <c r="U679" s="71"/>
      <c r="V679" s="86"/>
    </row>
    <row r="680" spans="1:22" ht="16.5" thickTop="1" thickBot="1" x14ac:dyDescent="0.3">
      <c r="A680" s="34"/>
      <c r="C680" s="13"/>
      <c r="I680" s="23"/>
      <c r="J680" s="29" t="str">
        <f t="shared" si="8"/>
        <v/>
      </c>
      <c r="L680" s="71"/>
      <c r="M680" s="71"/>
      <c r="N680" s="71"/>
      <c r="O680" s="71"/>
      <c r="P680" s="71" t="str">
        <f>IFERROR(INDEX(RECICLADORES!C:C,MATCH(D680,RECICLADORES!B:B,0)),"")</f>
        <v/>
      </c>
      <c r="Q680" s="71" t="str">
        <f>IFERROR(INDEX(RECICLADORES!O:O,MATCH(D680,RECICLADORES!B:B,0)),"")</f>
        <v/>
      </c>
      <c r="R680" s="65"/>
      <c r="S680" s="65"/>
      <c r="T680" s="71"/>
      <c r="U680" s="71"/>
      <c r="V680" s="86"/>
    </row>
    <row r="681" spans="1:22" ht="16.5" thickTop="1" thickBot="1" x14ac:dyDescent="0.3">
      <c r="A681" s="35"/>
      <c r="C681" s="13"/>
      <c r="I681" s="23"/>
      <c r="J681" s="29" t="str">
        <f t="shared" si="8"/>
        <v/>
      </c>
      <c r="L681" s="71"/>
      <c r="M681" s="71"/>
      <c r="N681" s="71"/>
      <c r="O681" s="71"/>
      <c r="P681" s="71" t="str">
        <f>IFERROR(INDEX(RECICLADORES!C:C,MATCH(D681,RECICLADORES!B:B,0)),"")</f>
        <v/>
      </c>
      <c r="Q681" s="71" t="str">
        <f>IFERROR(INDEX(RECICLADORES!O:O,MATCH(D681,RECICLADORES!B:B,0)),"")</f>
        <v/>
      </c>
      <c r="R681" s="65"/>
      <c r="S681" s="65"/>
      <c r="T681" s="71"/>
      <c r="U681" s="71"/>
      <c r="V681" s="86"/>
    </row>
    <row r="682" spans="1:22" ht="16.5" thickTop="1" thickBot="1" x14ac:dyDescent="0.3">
      <c r="A682" s="34"/>
      <c r="C682" s="13"/>
      <c r="I682" s="23"/>
      <c r="J682" s="29" t="str">
        <f t="shared" si="8"/>
        <v/>
      </c>
      <c r="L682" s="71"/>
      <c r="M682" s="71"/>
      <c r="N682" s="71"/>
      <c r="O682" s="71"/>
      <c r="P682" s="71" t="str">
        <f>IFERROR(INDEX(RECICLADORES!C:C,MATCH(D682,RECICLADORES!B:B,0)),"")</f>
        <v/>
      </c>
      <c r="Q682" s="71" t="str">
        <f>IFERROR(INDEX(RECICLADORES!O:O,MATCH(D682,RECICLADORES!B:B,0)),"")</f>
        <v/>
      </c>
      <c r="R682" s="65"/>
      <c r="S682" s="65"/>
      <c r="T682" s="71"/>
      <c r="U682" s="71"/>
      <c r="V682" s="86"/>
    </row>
    <row r="683" spans="1:22" ht="16.5" thickTop="1" thickBot="1" x14ac:dyDescent="0.3">
      <c r="A683" s="35"/>
      <c r="C683" s="13"/>
      <c r="I683" s="23"/>
      <c r="J683" s="29" t="str">
        <f t="shared" ref="J683:J746" si="9">IF(C683="","",INT((DAY(C683)-1)/7)+1)</f>
        <v/>
      </c>
      <c r="L683" s="71"/>
      <c r="M683" s="71"/>
      <c r="N683" s="71"/>
      <c r="O683" s="71"/>
      <c r="P683" s="71" t="str">
        <f>IFERROR(INDEX(RECICLADORES!C:C,MATCH(D683,RECICLADORES!B:B,0)),"")</f>
        <v/>
      </c>
      <c r="Q683" s="71" t="str">
        <f>IFERROR(INDEX(RECICLADORES!O:O,MATCH(D683,RECICLADORES!B:B,0)),"")</f>
        <v/>
      </c>
      <c r="R683" s="65"/>
      <c r="S683" s="65"/>
      <c r="T683" s="71"/>
      <c r="U683" s="71"/>
      <c r="V683" s="86"/>
    </row>
    <row r="684" spans="1:22" ht="16.5" thickTop="1" thickBot="1" x14ac:dyDescent="0.3">
      <c r="A684" s="34"/>
      <c r="C684" s="13"/>
      <c r="I684" s="23"/>
      <c r="J684" s="29" t="str">
        <f t="shared" si="9"/>
        <v/>
      </c>
      <c r="L684" s="71"/>
      <c r="M684" s="71"/>
      <c r="N684" s="71"/>
      <c r="O684" s="71"/>
      <c r="P684" s="71" t="str">
        <f>IFERROR(INDEX(RECICLADORES!C:C,MATCH(D684,RECICLADORES!B:B,0)),"")</f>
        <v/>
      </c>
      <c r="Q684" s="71" t="str">
        <f>IFERROR(INDEX(RECICLADORES!O:O,MATCH(D684,RECICLADORES!B:B,0)),"")</f>
        <v/>
      </c>
      <c r="R684" s="65"/>
      <c r="S684" s="65"/>
      <c r="T684" s="71"/>
      <c r="U684" s="71"/>
      <c r="V684" s="86"/>
    </row>
    <row r="685" spans="1:22" ht="16.5" thickTop="1" thickBot="1" x14ac:dyDescent="0.3">
      <c r="A685" s="35"/>
      <c r="C685" s="13"/>
      <c r="I685" s="23"/>
      <c r="J685" s="29" t="str">
        <f t="shared" si="9"/>
        <v/>
      </c>
      <c r="L685" s="71"/>
      <c r="M685" s="71"/>
      <c r="N685" s="71"/>
      <c r="O685" s="71"/>
      <c r="P685" s="71" t="str">
        <f>IFERROR(INDEX(RECICLADORES!C:C,MATCH(D685,RECICLADORES!B:B,0)),"")</f>
        <v/>
      </c>
      <c r="Q685" s="71" t="str">
        <f>IFERROR(INDEX(RECICLADORES!O:O,MATCH(D685,RECICLADORES!B:B,0)),"")</f>
        <v/>
      </c>
      <c r="R685" s="65"/>
      <c r="S685" s="65"/>
      <c r="T685" s="71"/>
      <c r="U685" s="71"/>
      <c r="V685" s="86"/>
    </row>
    <row r="686" spans="1:22" ht="16.5" thickTop="1" thickBot="1" x14ac:dyDescent="0.3">
      <c r="A686" s="35"/>
      <c r="C686" s="13"/>
      <c r="I686" s="23"/>
      <c r="J686" s="29" t="str">
        <f t="shared" si="9"/>
        <v/>
      </c>
      <c r="L686" s="71"/>
      <c r="M686" s="71"/>
      <c r="N686" s="71"/>
      <c r="O686" s="71"/>
      <c r="P686" s="71" t="str">
        <f>IFERROR(INDEX(RECICLADORES!C:C,MATCH(D686,RECICLADORES!B:B,0)),"")</f>
        <v/>
      </c>
      <c r="Q686" s="71" t="str">
        <f>IFERROR(INDEX(RECICLADORES!O:O,MATCH(D686,RECICLADORES!B:B,0)),"")</f>
        <v/>
      </c>
      <c r="R686" s="65"/>
      <c r="S686" s="65"/>
      <c r="T686" s="71"/>
      <c r="U686" s="71"/>
      <c r="V686" s="86"/>
    </row>
    <row r="687" spans="1:22" ht="16.5" thickTop="1" thickBot="1" x14ac:dyDescent="0.3">
      <c r="A687" s="34"/>
      <c r="C687" s="13"/>
      <c r="I687" s="23"/>
      <c r="J687" s="29" t="str">
        <f t="shared" si="9"/>
        <v/>
      </c>
      <c r="L687" s="71"/>
      <c r="M687" s="71"/>
      <c r="N687" s="71"/>
      <c r="O687" s="71"/>
      <c r="P687" s="71" t="str">
        <f>IFERROR(INDEX(RECICLADORES!C:C,MATCH(D687,RECICLADORES!B:B,0)),"")</f>
        <v/>
      </c>
      <c r="Q687" s="71" t="str">
        <f>IFERROR(INDEX(RECICLADORES!O:O,MATCH(D687,RECICLADORES!B:B,0)),"")</f>
        <v/>
      </c>
      <c r="R687" s="65"/>
      <c r="S687" s="65"/>
      <c r="T687" s="71"/>
      <c r="U687" s="71"/>
      <c r="V687" s="86"/>
    </row>
    <row r="688" spans="1:22" ht="16.5" thickTop="1" thickBot="1" x14ac:dyDescent="0.3">
      <c r="A688" s="35"/>
      <c r="C688" s="13"/>
      <c r="I688" s="23"/>
      <c r="J688" s="29" t="str">
        <f t="shared" si="9"/>
        <v/>
      </c>
      <c r="L688" s="71"/>
      <c r="M688" s="71"/>
      <c r="N688" s="71"/>
      <c r="O688" s="71"/>
      <c r="P688" s="71" t="str">
        <f>IFERROR(INDEX(RECICLADORES!C:C,MATCH(D688,RECICLADORES!B:B,0)),"")</f>
        <v/>
      </c>
      <c r="Q688" s="71" t="str">
        <f>IFERROR(INDEX(RECICLADORES!O:O,MATCH(D688,RECICLADORES!B:B,0)),"")</f>
        <v/>
      </c>
      <c r="R688" s="65"/>
      <c r="S688" s="65"/>
      <c r="T688" s="71"/>
      <c r="U688" s="71"/>
      <c r="V688" s="86"/>
    </row>
    <row r="689" spans="1:22" ht="16.5" thickTop="1" thickBot="1" x14ac:dyDescent="0.3">
      <c r="A689" s="34"/>
      <c r="C689" s="13"/>
      <c r="I689" s="23"/>
      <c r="J689" s="29" t="str">
        <f t="shared" si="9"/>
        <v/>
      </c>
      <c r="L689" s="71"/>
      <c r="M689" s="71"/>
      <c r="N689" s="71"/>
      <c r="O689" s="71"/>
      <c r="P689" s="71" t="str">
        <f>IFERROR(INDEX(RECICLADORES!C:C,MATCH(D689,RECICLADORES!B:B,0)),"")</f>
        <v/>
      </c>
      <c r="Q689" s="71" t="str">
        <f>IFERROR(INDEX(RECICLADORES!O:O,MATCH(D689,RECICLADORES!B:B,0)),"")</f>
        <v/>
      </c>
      <c r="R689" s="65"/>
      <c r="S689" s="65"/>
      <c r="T689" s="71"/>
      <c r="U689" s="71"/>
      <c r="V689" s="86"/>
    </row>
    <row r="690" spans="1:22" ht="16.5" thickTop="1" thickBot="1" x14ac:dyDescent="0.3">
      <c r="A690" s="35"/>
      <c r="C690" s="13"/>
      <c r="I690" s="23"/>
      <c r="J690" s="29" t="str">
        <f t="shared" si="9"/>
        <v/>
      </c>
      <c r="L690" s="71"/>
      <c r="M690" s="71"/>
      <c r="N690" s="71"/>
      <c r="O690" s="71"/>
      <c r="P690" s="71" t="str">
        <f>IFERROR(INDEX(RECICLADORES!C:C,MATCH(D690,RECICLADORES!B:B,0)),"")</f>
        <v/>
      </c>
      <c r="Q690" s="71" t="str">
        <f>IFERROR(INDEX(RECICLADORES!O:O,MATCH(D690,RECICLADORES!B:B,0)),"")</f>
        <v/>
      </c>
      <c r="R690" s="65"/>
      <c r="S690" s="65"/>
      <c r="T690" s="71"/>
      <c r="U690" s="71"/>
      <c r="V690" s="86"/>
    </row>
    <row r="691" spans="1:22" ht="16.5" thickTop="1" thickBot="1" x14ac:dyDescent="0.3">
      <c r="A691" s="34"/>
      <c r="C691" s="13"/>
      <c r="I691" s="23"/>
      <c r="J691" s="29" t="str">
        <f t="shared" si="9"/>
        <v/>
      </c>
      <c r="L691" s="71"/>
      <c r="M691" s="71"/>
      <c r="N691" s="71"/>
      <c r="O691" s="71"/>
      <c r="P691" s="71" t="str">
        <f>IFERROR(INDEX(RECICLADORES!C:C,MATCH(D691,RECICLADORES!B:B,0)),"")</f>
        <v/>
      </c>
      <c r="Q691" s="71" t="str">
        <f>IFERROR(INDEX(RECICLADORES!O:O,MATCH(D691,RECICLADORES!B:B,0)),"")</f>
        <v/>
      </c>
      <c r="R691" s="65"/>
      <c r="S691" s="65"/>
      <c r="T691" s="71"/>
      <c r="U691" s="71"/>
      <c r="V691" s="86"/>
    </row>
    <row r="692" spans="1:22" ht="16.5" thickTop="1" thickBot="1" x14ac:dyDescent="0.3">
      <c r="A692" s="35"/>
      <c r="C692" s="13"/>
      <c r="I692" s="23"/>
      <c r="J692" s="29" t="str">
        <f t="shared" si="9"/>
        <v/>
      </c>
      <c r="L692" s="71"/>
      <c r="M692" s="71"/>
      <c r="N692" s="71"/>
      <c r="O692" s="71"/>
      <c r="P692" s="71" t="str">
        <f>IFERROR(INDEX(RECICLADORES!C:C,MATCH(D692,RECICLADORES!B:B,0)),"")</f>
        <v/>
      </c>
      <c r="Q692" s="71" t="str">
        <f>IFERROR(INDEX(RECICLADORES!O:O,MATCH(D692,RECICLADORES!B:B,0)),"")</f>
        <v/>
      </c>
      <c r="R692" s="65"/>
      <c r="S692" s="65"/>
      <c r="T692" s="71"/>
      <c r="U692" s="71"/>
      <c r="V692" s="86"/>
    </row>
    <row r="693" spans="1:22" ht="16.5" thickTop="1" thickBot="1" x14ac:dyDescent="0.3">
      <c r="A693" s="34"/>
      <c r="C693" s="13"/>
      <c r="I693" s="23"/>
      <c r="J693" s="29" t="str">
        <f t="shared" si="9"/>
        <v/>
      </c>
      <c r="L693" s="71"/>
      <c r="M693" s="71"/>
      <c r="N693" s="71"/>
      <c r="O693" s="71"/>
      <c r="P693" s="71" t="str">
        <f>IFERROR(INDEX(RECICLADORES!C:C,MATCH(D693,RECICLADORES!B:B,0)),"")</f>
        <v/>
      </c>
      <c r="Q693" s="71" t="str">
        <f>IFERROR(INDEX(RECICLADORES!O:O,MATCH(D693,RECICLADORES!B:B,0)),"")</f>
        <v/>
      </c>
      <c r="R693" s="65"/>
      <c r="S693" s="65"/>
      <c r="T693" s="71"/>
      <c r="U693" s="71"/>
      <c r="V693" s="86"/>
    </row>
    <row r="694" spans="1:22" ht="16.5" thickTop="1" thickBot="1" x14ac:dyDescent="0.3">
      <c r="A694" s="35"/>
      <c r="C694" s="13"/>
      <c r="I694" s="23"/>
      <c r="J694" s="29" t="str">
        <f t="shared" si="9"/>
        <v/>
      </c>
      <c r="L694" s="71"/>
      <c r="M694" s="71"/>
      <c r="N694" s="71"/>
      <c r="O694" s="71"/>
      <c r="P694" s="71" t="str">
        <f>IFERROR(INDEX(RECICLADORES!C:C,MATCH(D694,RECICLADORES!B:B,0)),"")</f>
        <v/>
      </c>
      <c r="Q694" s="71" t="str">
        <f>IFERROR(INDEX(RECICLADORES!O:O,MATCH(D694,RECICLADORES!B:B,0)),"")</f>
        <v/>
      </c>
      <c r="R694" s="65"/>
      <c r="S694" s="65"/>
      <c r="T694" s="71"/>
      <c r="U694" s="71"/>
      <c r="V694" s="86"/>
    </row>
    <row r="695" spans="1:22" ht="16.5" thickTop="1" thickBot="1" x14ac:dyDescent="0.3">
      <c r="A695" s="34"/>
      <c r="C695" s="13"/>
      <c r="I695" s="23"/>
      <c r="J695" s="29" t="str">
        <f t="shared" si="9"/>
        <v/>
      </c>
      <c r="L695" s="71"/>
      <c r="M695" s="71"/>
      <c r="N695" s="71"/>
      <c r="O695" s="71"/>
      <c r="P695" s="71" t="str">
        <f>IFERROR(INDEX(RECICLADORES!C:C,MATCH(D695,RECICLADORES!B:B,0)),"")</f>
        <v/>
      </c>
      <c r="Q695" s="71" t="str">
        <f>IFERROR(INDEX(RECICLADORES!O:O,MATCH(D695,RECICLADORES!B:B,0)),"")</f>
        <v/>
      </c>
      <c r="R695" s="65"/>
      <c r="S695" s="65"/>
      <c r="T695" s="71"/>
      <c r="U695" s="71"/>
      <c r="V695" s="86"/>
    </row>
    <row r="696" spans="1:22" ht="16.5" thickTop="1" thickBot="1" x14ac:dyDescent="0.3">
      <c r="A696" s="35"/>
      <c r="C696" s="13"/>
      <c r="I696" s="23"/>
      <c r="J696" s="29" t="str">
        <f t="shared" si="9"/>
        <v/>
      </c>
      <c r="L696" s="71"/>
      <c r="M696" s="71"/>
      <c r="N696" s="71"/>
      <c r="O696" s="71"/>
      <c r="P696" s="71" t="str">
        <f>IFERROR(INDEX(RECICLADORES!C:C,MATCH(D696,RECICLADORES!B:B,0)),"")</f>
        <v/>
      </c>
      <c r="Q696" s="71" t="str">
        <f>IFERROR(INDEX(RECICLADORES!O:O,MATCH(D696,RECICLADORES!B:B,0)),"")</f>
        <v/>
      </c>
      <c r="R696" s="65"/>
      <c r="S696" s="65"/>
      <c r="T696" s="71"/>
      <c r="U696" s="71"/>
      <c r="V696" s="86"/>
    </row>
    <row r="697" spans="1:22" ht="16.5" thickTop="1" thickBot="1" x14ac:dyDescent="0.3">
      <c r="A697" s="34"/>
      <c r="C697" s="13"/>
      <c r="I697" s="23"/>
      <c r="J697" s="29" t="str">
        <f t="shared" si="9"/>
        <v/>
      </c>
      <c r="L697" s="71"/>
      <c r="M697" s="71"/>
      <c r="N697" s="71"/>
      <c r="O697" s="71"/>
      <c r="P697" s="71" t="str">
        <f>IFERROR(INDEX(RECICLADORES!C:C,MATCH(D697,RECICLADORES!B:B,0)),"")</f>
        <v/>
      </c>
      <c r="Q697" s="71" t="str">
        <f>IFERROR(INDEX(RECICLADORES!O:O,MATCH(D697,RECICLADORES!B:B,0)),"")</f>
        <v/>
      </c>
      <c r="R697" s="65"/>
      <c r="S697" s="65"/>
      <c r="T697" s="71"/>
      <c r="U697" s="71"/>
      <c r="V697" s="86"/>
    </row>
    <row r="698" spans="1:22" ht="16.5" thickTop="1" thickBot="1" x14ac:dyDescent="0.3">
      <c r="A698" s="35"/>
      <c r="C698" s="13"/>
      <c r="I698" s="23"/>
      <c r="J698" s="29" t="str">
        <f t="shared" si="9"/>
        <v/>
      </c>
      <c r="L698" s="71"/>
      <c r="M698" s="71"/>
      <c r="N698" s="71"/>
      <c r="O698" s="71"/>
      <c r="P698" s="71" t="str">
        <f>IFERROR(INDEX(RECICLADORES!C:C,MATCH(D698,RECICLADORES!B:B,0)),"")</f>
        <v/>
      </c>
      <c r="Q698" s="71" t="str">
        <f>IFERROR(INDEX(RECICLADORES!O:O,MATCH(D698,RECICLADORES!B:B,0)),"")</f>
        <v/>
      </c>
      <c r="R698" s="65"/>
      <c r="S698" s="65"/>
      <c r="T698" s="71"/>
      <c r="U698" s="71"/>
      <c r="V698" s="86"/>
    </row>
    <row r="699" spans="1:22" ht="16.5" thickTop="1" thickBot="1" x14ac:dyDescent="0.3">
      <c r="A699" s="34"/>
      <c r="C699" s="13"/>
      <c r="I699" s="23"/>
      <c r="J699" s="29" t="str">
        <f t="shared" si="9"/>
        <v/>
      </c>
      <c r="L699" s="71"/>
      <c r="M699" s="71"/>
      <c r="N699" s="71"/>
      <c r="O699" s="71"/>
      <c r="P699" s="71" t="str">
        <f>IFERROR(INDEX(RECICLADORES!C:C,MATCH(D699,RECICLADORES!B:B,0)),"")</f>
        <v/>
      </c>
      <c r="Q699" s="71" t="str">
        <f>IFERROR(INDEX(RECICLADORES!O:O,MATCH(D699,RECICLADORES!B:B,0)),"")</f>
        <v/>
      </c>
      <c r="R699" s="65"/>
      <c r="S699" s="65"/>
      <c r="T699" s="71"/>
      <c r="U699" s="71"/>
      <c r="V699" s="86"/>
    </row>
    <row r="700" spans="1:22" ht="16.5" thickTop="1" thickBot="1" x14ac:dyDescent="0.3">
      <c r="A700" s="35"/>
      <c r="C700" s="13"/>
      <c r="I700" s="23"/>
      <c r="J700" s="29" t="str">
        <f t="shared" si="9"/>
        <v/>
      </c>
      <c r="L700" s="71"/>
      <c r="M700" s="71"/>
      <c r="N700" s="71"/>
      <c r="O700" s="71"/>
      <c r="P700" s="71" t="str">
        <f>IFERROR(INDEX(RECICLADORES!C:C,MATCH(D700,RECICLADORES!B:B,0)),"")</f>
        <v/>
      </c>
      <c r="Q700" s="71" t="str">
        <f>IFERROR(INDEX(RECICLADORES!O:O,MATCH(D700,RECICLADORES!B:B,0)),"")</f>
        <v/>
      </c>
      <c r="R700" s="65"/>
      <c r="S700" s="65"/>
      <c r="T700" s="71"/>
      <c r="U700" s="71"/>
      <c r="V700" s="86"/>
    </row>
    <row r="701" spans="1:22" ht="16.5" thickTop="1" thickBot="1" x14ac:dyDescent="0.3">
      <c r="A701" s="34"/>
      <c r="C701" s="13"/>
      <c r="I701" s="23"/>
      <c r="J701" s="29" t="str">
        <f t="shared" si="9"/>
        <v/>
      </c>
      <c r="L701" s="71"/>
      <c r="M701" s="71"/>
      <c r="N701" s="71"/>
      <c r="O701" s="71"/>
      <c r="P701" s="71" t="str">
        <f>IFERROR(INDEX(RECICLADORES!C:C,MATCH(D701,RECICLADORES!B:B,0)),"")</f>
        <v/>
      </c>
      <c r="Q701" s="71" t="str">
        <f>IFERROR(INDEX(RECICLADORES!O:O,MATCH(D701,RECICLADORES!B:B,0)),"")</f>
        <v/>
      </c>
      <c r="R701" s="65"/>
      <c r="S701" s="65"/>
      <c r="T701" s="71"/>
      <c r="U701" s="71"/>
      <c r="V701" s="86"/>
    </row>
    <row r="702" spans="1:22" ht="16.5" thickTop="1" thickBot="1" x14ac:dyDescent="0.3">
      <c r="A702" s="35"/>
      <c r="C702" s="13"/>
      <c r="I702" s="23"/>
      <c r="J702" s="29" t="str">
        <f t="shared" si="9"/>
        <v/>
      </c>
      <c r="L702" s="71"/>
      <c r="M702" s="71"/>
      <c r="N702" s="71"/>
      <c r="O702" s="71"/>
      <c r="P702" s="71" t="str">
        <f>IFERROR(INDEX(RECICLADORES!C:C,MATCH(D702,RECICLADORES!B:B,0)),"")</f>
        <v/>
      </c>
      <c r="Q702" s="71" t="str">
        <f>IFERROR(INDEX(RECICLADORES!O:O,MATCH(D702,RECICLADORES!B:B,0)),"")</f>
        <v/>
      </c>
      <c r="R702" s="65"/>
      <c r="S702" s="65"/>
      <c r="T702" s="71"/>
      <c r="U702" s="71"/>
      <c r="V702" s="86"/>
    </row>
    <row r="703" spans="1:22" ht="16.5" thickTop="1" thickBot="1" x14ac:dyDescent="0.3">
      <c r="A703" s="34"/>
      <c r="C703" s="13"/>
      <c r="I703" s="23"/>
      <c r="J703" s="29" t="str">
        <f t="shared" si="9"/>
        <v/>
      </c>
      <c r="L703" s="71"/>
      <c r="M703" s="71"/>
      <c r="N703" s="71"/>
      <c r="O703" s="71"/>
      <c r="P703" s="71" t="str">
        <f>IFERROR(INDEX(RECICLADORES!C:C,MATCH(D703,RECICLADORES!B:B,0)),"")</f>
        <v/>
      </c>
      <c r="Q703" s="71" t="str">
        <f>IFERROR(INDEX(RECICLADORES!O:O,MATCH(D703,RECICLADORES!B:B,0)),"")</f>
        <v/>
      </c>
      <c r="R703" s="65"/>
      <c r="S703" s="65"/>
      <c r="T703" s="71"/>
      <c r="U703" s="71"/>
      <c r="V703" s="86"/>
    </row>
    <row r="704" spans="1:22" ht="16.5" thickTop="1" thickBot="1" x14ac:dyDescent="0.3">
      <c r="A704" s="35"/>
      <c r="C704" s="13"/>
      <c r="I704" s="23"/>
      <c r="J704" s="29" t="str">
        <f t="shared" si="9"/>
        <v/>
      </c>
      <c r="L704" s="71"/>
      <c r="M704" s="71"/>
      <c r="N704" s="71"/>
      <c r="O704" s="71"/>
      <c r="P704" s="71" t="str">
        <f>IFERROR(INDEX(RECICLADORES!C:C,MATCH(D704,RECICLADORES!B:B,0)),"")</f>
        <v/>
      </c>
      <c r="Q704" s="71" t="str">
        <f>IFERROR(INDEX(RECICLADORES!O:O,MATCH(D704,RECICLADORES!B:B,0)),"")</f>
        <v/>
      </c>
      <c r="R704" s="65"/>
      <c r="S704" s="65"/>
      <c r="T704" s="71"/>
      <c r="U704" s="71"/>
      <c r="V704" s="86"/>
    </row>
    <row r="705" spans="1:22" ht="16.5" thickTop="1" thickBot="1" x14ac:dyDescent="0.3">
      <c r="A705" s="34"/>
      <c r="C705" s="13"/>
      <c r="I705" s="23"/>
      <c r="J705" s="29" t="str">
        <f t="shared" si="9"/>
        <v/>
      </c>
      <c r="L705" s="71"/>
      <c r="M705" s="71"/>
      <c r="N705" s="71"/>
      <c r="O705" s="71"/>
      <c r="P705" s="71" t="str">
        <f>IFERROR(INDEX(RECICLADORES!C:C,MATCH(D705,RECICLADORES!B:B,0)),"")</f>
        <v/>
      </c>
      <c r="Q705" s="71" t="str">
        <f>IFERROR(INDEX(RECICLADORES!O:O,MATCH(D705,RECICLADORES!B:B,0)),"")</f>
        <v/>
      </c>
      <c r="R705" s="65"/>
      <c r="S705" s="65"/>
      <c r="T705" s="71"/>
      <c r="U705" s="71"/>
      <c r="V705" s="86"/>
    </row>
    <row r="706" spans="1:22" ht="16.5" thickTop="1" thickBot="1" x14ac:dyDescent="0.3">
      <c r="A706" s="35"/>
      <c r="C706" s="13"/>
      <c r="I706" s="23"/>
      <c r="J706" s="29" t="str">
        <f t="shared" si="9"/>
        <v/>
      </c>
      <c r="L706" s="71"/>
      <c r="M706" s="71"/>
      <c r="N706" s="71"/>
      <c r="O706" s="71"/>
      <c r="P706" s="71" t="str">
        <f>IFERROR(INDEX(RECICLADORES!C:C,MATCH(D706,RECICLADORES!B:B,0)),"")</f>
        <v/>
      </c>
      <c r="Q706" s="71" t="str">
        <f>IFERROR(INDEX(RECICLADORES!O:O,MATCH(D706,RECICLADORES!B:B,0)),"")</f>
        <v/>
      </c>
      <c r="R706" s="65"/>
      <c r="S706" s="65"/>
      <c r="T706" s="71"/>
      <c r="U706" s="71"/>
      <c r="V706" s="86"/>
    </row>
    <row r="707" spans="1:22" ht="16.5" thickTop="1" thickBot="1" x14ac:dyDescent="0.3">
      <c r="A707" s="34"/>
      <c r="C707" s="13"/>
      <c r="I707" s="23"/>
      <c r="J707" s="29" t="str">
        <f t="shared" si="9"/>
        <v/>
      </c>
      <c r="L707" s="71"/>
      <c r="M707" s="71"/>
      <c r="N707" s="71"/>
      <c r="O707" s="71"/>
      <c r="P707" s="71" t="str">
        <f>IFERROR(INDEX(RECICLADORES!C:C,MATCH(D707,RECICLADORES!B:B,0)),"")</f>
        <v/>
      </c>
      <c r="Q707" s="71" t="str">
        <f>IFERROR(INDEX(RECICLADORES!O:O,MATCH(D707,RECICLADORES!B:B,0)),"")</f>
        <v/>
      </c>
      <c r="R707" s="65"/>
      <c r="S707" s="65"/>
      <c r="T707" s="71"/>
      <c r="U707" s="71"/>
      <c r="V707" s="86"/>
    </row>
    <row r="708" spans="1:22" ht="16.5" thickTop="1" thickBot="1" x14ac:dyDescent="0.3">
      <c r="A708" s="35"/>
      <c r="C708" s="13"/>
      <c r="I708" s="23"/>
      <c r="J708" s="29" t="str">
        <f t="shared" si="9"/>
        <v/>
      </c>
      <c r="L708" s="71"/>
      <c r="M708" s="71"/>
      <c r="N708" s="71"/>
      <c r="O708" s="71"/>
      <c r="P708" s="71" t="str">
        <f>IFERROR(INDEX(RECICLADORES!C:C,MATCH(D708,RECICLADORES!B:B,0)),"")</f>
        <v/>
      </c>
      <c r="Q708" s="71" t="str">
        <f>IFERROR(INDEX(RECICLADORES!O:O,MATCH(D708,RECICLADORES!B:B,0)),"")</f>
        <v/>
      </c>
      <c r="R708" s="65"/>
      <c r="S708" s="65"/>
      <c r="T708" s="71"/>
      <c r="U708" s="71"/>
      <c r="V708" s="86"/>
    </row>
    <row r="709" spans="1:22" ht="16.5" thickTop="1" thickBot="1" x14ac:dyDescent="0.3">
      <c r="A709" s="34"/>
      <c r="C709" s="13"/>
      <c r="I709" s="23"/>
      <c r="J709" s="29" t="str">
        <f t="shared" si="9"/>
        <v/>
      </c>
      <c r="L709" s="71"/>
      <c r="M709" s="71"/>
      <c r="N709" s="71"/>
      <c r="O709" s="71"/>
      <c r="P709" s="71" t="str">
        <f>IFERROR(INDEX(RECICLADORES!C:C,MATCH(D709,RECICLADORES!B:B,0)),"")</f>
        <v/>
      </c>
      <c r="Q709" s="71" t="str">
        <f>IFERROR(INDEX(RECICLADORES!O:O,MATCH(D709,RECICLADORES!B:B,0)),"")</f>
        <v/>
      </c>
      <c r="R709" s="65"/>
      <c r="S709" s="65"/>
      <c r="T709" s="71"/>
      <c r="U709" s="71"/>
      <c r="V709" s="86"/>
    </row>
    <row r="710" spans="1:22" ht="16.5" thickTop="1" thickBot="1" x14ac:dyDescent="0.3">
      <c r="A710" s="35"/>
      <c r="C710" s="13"/>
      <c r="I710" s="23"/>
      <c r="J710" s="29" t="str">
        <f t="shared" si="9"/>
        <v/>
      </c>
      <c r="L710" s="71"/>
      <c r="M710" s="71"/>
      <c r="N710" s="71"/>
      <c r="O710" s="71"/>
      <c r="P710" s="71" t="str">
        <f>IFERROR(INDEX(RECICLADORES!C:C,MATCH(D710,RECICLADORES!B:B,0)),"")</f>
        <v/>
      </c>
      <c r="Q710" s="71" t="str">
        <f>IFERROR(INDEX(RECICLADORES!O:O,MATCH(D710,RECICLADORES!B:B,0)),"")</f>
        <v/>
      </c>
      <c r="R710" s="65"/>
      <c r="S710" s="65"/>
      <c r="T710" s="71"/>
      <c r="U710" s="71"/>
      <c r="V710" s="86"/>
    </row>
    <row r="711" spans="1:22" ht="16.5" thickTop="1" thickBot="1" x14ac:dyDescent="0.3">
      <c r="A711" s="34"/>
      <c r="C711" s="13"/>
      <c r="I711" s="23"/>
      <c r="J711" s="29" t="str">
        <f t="shared" si="9"/>
        <v/>
      </c>
      <c r="L711" s="71"/>
      <c r="M711" s="71"/>
      <c r="N711" s="71"/>
      <c r="O711" s="71"/>
      <c r="P711" s="71" t="str">
        <f>IFERROR(INDEX(RECICLADORES!C:C,MATCH(D711,RECICLADORES!B:B,0)),"")</f>
        <v/>
      </c>
      <c r="Q711" s="71" t="str">
        <f>IFERROR(INDEX(RECICLADORES!O:O,MATCH(D711,RECICLADORES!B:B,0)),"")</f>
        <v/>
      </c>
      <c r="R711" s="65"/>
      <c r="S711" s="65"/>
      <c r="T711" s="71"/>
      <c r="U711" s="71"/>
      <c r="V711" s="86"/>
    </row>
    <row r="712" spans="1:22" ht="16.5" thickTop="1" thickBot="1" x14ac:dyDescent="0.3">
      <c r="A712" s="35"/>
      <c r="C712" s="13"/>
      <c r="I712" s="23"/>
      <c r="J712" s="29" t="str">
        <f t="shared" si="9"/>
        <v/>
      </c>
      <c r="L712" s="71"/>
      <c r="M712" s="71"/>
      <c r="N712" s="71"/>
      <c r="O712" s="71"/>
      <c r="P712" s="71" t="str">
        <f>IFERROR(INDEX(RECICLADORES!C:C,MATCH(D712,RECICLADORES!B:B,0)),"")</f>
        <v/>
      </c>
      <c r="Q712" s="71" t="str">
        <f>IFERROR(INDEX(RECICLADORES!O:O,MATCH(D712,RECICLADORES!B:B,0)),"")</f>
        <v/>
      </c>
      <c r="R712" s="65"/>
      <c r="S712" s="65"/>
      <c r="T712" s="71"/>
      <c r="U712" s="71"/>
      <c r="V712" s="86"/>
    </row>
    <row r="713" spans="1:22" ht="16.5" thickTop="1" thickBot="1" x14ac:dyDescent="0.3">
      <c r="A713" s="34"/>
      <c r="C713" s="13"/>
      <c r="I713" s="23"/>
      <c r="J713" s="29" t="str">
        <f t="shared" si="9"/>
        <v/>
      </c>
      <c r="L713" s="71"/>
      <c r="M713" s="71"/>
      <c r="N713" s="71"/>
      <c r="O713" s="71"/>
      <c r="P713" s="71" t="str">
        <f>IFERROR(INDEX(RECICLADORES!C:C,MATCH(D713,RECICLADORES!B:B,0)),"")</f>
        <v/>
      </c>
      <c r="Q713" s="71" t="str">
        <f>IFERROR(INDEX(RECICLADORES!O:O,MATCH(D713,RECICLADORES!B:B,0)),"")</f>
        <v/>
      </c>
      <c r="R713" s="65"/>
      <c r="S713" s="65"/>
      <c r="T713" s="71"/>
      <c r="U713" s="71"/>
      <c r="V713" s="86"/>
    </row>
    <row r="714" spans="1:22" ht="16.5" thickTop="1" thickBot="1" x14ac:dyDescent="0.3">
      <c r="A714" s="35"/>
      <c r="C714" s="13"/>
      <c r="I714" s="23"/>
      <c r="J714" s="29" t="str">
        <f t="shared" si="9"/>
        <v/>
      </c>
      <c r="L714" s="71"/>
      <c r="M714" s="71"/>
      <c r="N714" s="71"/>
      <c r="O714" s="71"/>
      <c r="P714" s="71" t="str">
        <f>IFERROR(INDEX(RECICLADORES!C:C,MATCH(D714,RECICLADORES!B:B,0)),"")</f>
        <v/>
      </c>
      <c r="Q714" s="71" t="str">
        <f>IFERROR(INDEX(RECICLADORES!O:O,MATCH(D714,RECICLADORES!B:B,0)),"")</f>
        <v/>
      </c>
      <c r="R714" s="65"/>
      <c r="S714" s="65"/>
      <c r="T714" s="71"/>
      <c r="U714" s="71"/>
      <c r="V714" s="86"/>
    </row>
    <row r="715" spans="1:22" ht="16.5" thickTop="1" thickBot="1" x14ac:dyDescent="0.3">
      <c r="A715" s="35"/>
      <c r="C715" s="13"/>
      <c r="I715" s="23"/>
      <c r="J715" s="29" t="str">
        <f t="shared" si="9"/>
        <v/>
      </c>
      <c r="L715" s="71"/>
      <c r="M715" s="71"/>
      <c r="N715" s="71"/>
      <c r="O715" s="71"/>
      <c r="P715" s="71" t="str">
        <f>IFERROR(INDEX(RECICLADORES!C:C,MATCH(D715,RECICLADORES!B:B,0)),"")</f>
        <v/>
      </c>
      <c r="Q715" s="71" t="str">
        <f>IFERROR(INDEX(RECICLADORES!O:O,MATCH(D715,RECICLADORES!B:B,0)),"")</f>
        <v/>
      </c>
      <c r="R715" s="65"/>
      <c r="S715" s="65"/>
      <c r="T715" s="71"/>
      <c r="U715" s="71"/>
      <c r="V715" s="86"/>
    </row>
    <row r="716" spans="1:22" ht="16.5" thickTop="1" thickBot="1" x14ac:dyDescent="0.3">
      <c r="A716" s="34"/>
      <c r="C716" s="13"/>
      <c r="I716" s="23"/>
      <c r="J716" s="29" t="str">
        <f t="shared" si="9"/>
        <v/>
      </c>
      <c r="L716" s="71"/>
      <c r="M716" s="71"/>
      <c r="N716" s="71"/>
      <c r="O716" s="71"/>
      <c r="P716" s="71" t="str">
        <f>IFERROR(INDEX(RECICLADORES!C:C,MATCH(D716,RECICLADORES!B:B,0)),"")</f>
        <v/>
      </c>
      <c r="Q716" s="71" t="str">
        <f>IFERROR(INDEX(RECICLADORES!O:O,MATCH(D716,RECICLADORES!B:B,0)),"")</f>
        <v/>
      </c>
      <c r="R716" s="65"/>
      <c r="S716" s="65"/>
      <c r="T716" s="71"/>
      <c r="U716" s="71"/>
      <c r="V716" s="86"/>
    </row>
    <row r="717" spans="1:22" ht="16.5" thickTop="1" thickBot="1" x14ac:dyDescent="0.3">
      <c r="A717" s="35"/>
      <c r="C717" s="13"/>
      <c r="I717" s="23"/>
      <c r="J717" s="29" t="str">
        <f t="shared" si="9"/>
        <v/>
      </c>
      <c r="L717" s="71"/>
      <c r="M717" s="71"/>
      <c r="N717" s="71"/>
      <c r="O717" s="71"/>
      <c r="P717" s="71" t="str">
        <f>IFERROR(INDEX(RECICLADORES!C:C,MATCH(D717,RECICLADORES!B:B,0)),"")</f>
        <v/>
      </c>
      <c r="Q717" s="71" t="str">
        <f>IFERROR(INDEX(RECICLADORES!O:O,MATCH(D717,RECICLADORES!B:B,0)),"")</f>
        <v/>
      </c>
      <c r="R717" s="65"/>
      <c r="S717" s="65"/>
      <c r="T717" s="71"/>
      <c r="U717" s="71"/>
      <c r="V717" s="86"/>
    </row>
    <row r="718" spans="1:22" ht="16.5" thickTop="1" thickBot="1" x14ac:dyDescent="0.3">
      <c r="A718" s="34"/>
      <c r="C718" s="13"/>
      <c r="I718" s="23"/>
      <c r="J718" s="29" t="str">
        <f t="shared" si="9"/>
        <v/>
      </c>
      <c r="L718" s="71"/>
      <c r="M718" s="71"/>
      <c r="N718" s="71"/>
      <c r="O718" s="71"/>
      <c r="P718" s="71" t="str">
        <f>IFERROR(INDEX(RECICLADORES!C:C,MATCH(D718,RECICLADORES!B:B,0)),"")</f>
        <v/>
      </c>
      <c r="Q718" s="71" t="str">
        <f>IFERROR(INDEX(RECICLADORES!O:O,MATCH(D718,RECICLADORES!B:B,0)),"")</f>
        <v/>
      </c>
      <c r="R718" s="65"/>
      <c r="S718" s="65"/>
      <c r="T718" s="71"/>
      <c r="U718" s="71"/>
      <c r="V718" s="86"/>
    </row>
    <row r="719" spans="1:22" ht="16.5" thickTop="1" thickBot="1" x14ac:dyDescent="0.3">
      <c r="A719" s="35"/>
      <c r="C719" s="13"/>
      <c r="I719" s="23"/>
      <c r="J719" s="29" t="str">
        <f t="shared" si="9"/>
        <v/>
      </c>
      <c r="L719" s="71"/>
      <c r="M719" s="71"/>
      <c r="N719" s="71"/>
      <c r="O719" s="71"/>
      <c r="P719" s="71" t="str">
        <f>IFERROR(INDEX(RECICLADORES!C:C,MATCH(D719,RECICLADORES!B:B,0)),"")</f>
        <v/>
      </c>
      <c r="Q719" s="71" t="str">
        <f>IFERROR(INDEX(RECICLADORES!O:O,MATCH(D719,RECICLADORES!B:B,0)),"")</f>
        <v/>
      </c>
      <c r="R719" s="65"/>
      <c r="S719" s="65"/>
      <c r="T719" s="71"/>
      <c r="U719" s="71"/>
      <c r="V719" s="86"/>
    </row>
    <row r="720" spans="1:22" ht="16.5" thickTop="1" thickBot="1" x14ac:dyDescent="0.3">
      <c r="A720" s="34"/>
      <c r="C720" s="13"/>
      <c r="I720" s="23"/>
      <c r="J720" s="29" t="str">
        <f t="shared" si="9"/>
        <v/>
      </c>
      <c r="L720" s="71"/>
      <c r="M720" s="71"/>
      <c r="N720" s="71"/>
      <c r="O720" s="71"/>
      <c r="P720" s="71" t="str">
        <f>IFERROR(INDEX(RECICLADORES!C:C,MATCH(D720,RECICLADORES!B:B,0)),"")</f>
        <v/>
      </c>
      <c r="Q720" s="71" t="str">
        <f>IFERROR(INDEX(RECICLADORES!O:O,MATCH(D720,RECICLADORES!B:B,0)),"")</f>
        <v/>
      </c>
      <c r="R720" s="65"/>
      <c r="S720" s="65"/>
      <c r="T720" s="71"/>
      <c r="U720" s="71"/>
      <c r="V720" s="86"/>
    </row>
    <row r="721" spans="1:22" ht="16.5" thickTop="1" thickBot="1" x14ac:dyDescent="0.3">
      <c r="A721" s="35"/>
      <c r="C721" s="13"/>
      <c r="I721" s="23"/>
      <c r="J721" s="29" t="str">
        <f t="shared" si="9"/>
        <v/>
      </c>
      <c r="L721" s="71"/>
      <c r="M721" s="71"/>
      <c r="N721" s="71"/>
      <c r="O721" s="71"/>
      <c r="P721" s="71" t="str">
        <f>IFERROR(INDEX(RECICLADORES!C:C,MATCH(D721,RECICLADORES!B:B,0)),"")</f>
        <v/>
      </c>
      <c r="Q721" s="71" t="str">
        <f>IFERROR(INDEX(RECICLADORES!O:O,MATCH(D721,RECICLADORES!B:B,0)),"")</f>
        <v/>
      </c>
      <c r="R721" s="65"/>
      <c r="S721" s="65"/>
      <c r="T721" s="71"/>
      <c r="U721" s="71"/>
      <c r="V721" s="86"/>
    </row>
    <row r="722" spans="1:22" ht="16.5" thickTop="1" thickBot="1" x14ac:dyDescent="0.3">
      <c r="A722" s="34"/>
      <c r="C722" s="13"/>
      <c r="I722" s="23"/>
      <c r="J722" s="29" t="str">
        <f t="shared" si="9"/>
        <v/>
      </c>
      <c r="L722" s="71"/>
      <c r="M722" s="71"/>
      <c r="N722" s="71"/>
      <c r="O722" s="71"/>
      <c r="P722" s="71" t="str">
        <f>IFERROR(INDEX(RECICLADORES!C:C,MATCH(D722,RECICLADORES!B:B,0)),"")</f>
        <v/>
      </c>
      <c r="Q722" s="71" t="str">
        <f>IFERROR(INDEX(RECICLADORES!O:O,MATCH(D722,RECICLADORES!B:B,0)),"")</f>
        <v/>
      </c>
      <c r="R722" s="65"/>
      <c r="S722" s="65"/>
      <c r="T722" s="71"/>
      <c r="U722" s="71"/>
      <c r="V722" s="86"/>
    </row>
    <row r="723" spans="1:22" ht="16.5" thickTop="1" thickBot="1" x14ac:dyDescent="0.3">
      <c r="A723" s="35"/>
      <c r="C723" s="13"/>
      <c r="I723" s="23"/>
      <c r="J723" s="29" t="str">
        <f t="shared" si="9"/>
        <v/>
      </c>
      <c r="L723" s="71"/>
      <c r="M723" s="71"/>
      <c r="N723" s="71"/>
      <c r="O723" s="71"/>
      <c r="P723" s="71" t="str">
        <f>IFERROR(INDEX(RECICLADORES!C:C,MATCH(D723,RECICLADORES!B:B,0)),"")</f>
        <v/>
      </c>
      <c r="Q723" s="71" t="str">
        <f>IFERROR(INDEX(RECICLADORES!O:O,MATCH(D723,RECICLADORES!B:B,0)),"")</f>
        <v/>
      </c>
      <c r="R723" s="65"/>
      <c r="S723" s="65"/>
      <c r="T723" s="71"/>
      <c r="U723" s="71"/>
      <c r="V723" s="86"/>
    </row>
    <row r="724" spans="1:22" ht="16.5" thickTop="1" thickBot="1" x14ac:dyDescent="0.3">
      <c r="A724" s="34"/>
      <c r="C724" s="13"/>
      <c r="I724" s="23"/>
      <c r="J724" s="29" t="str">
        <f t="shared" si="9"/>
        <v/>
      </c>
      <c r="L724" s="71"/>
      <c r="M724" s="71"/>
      <c r="N724" s="71"/>
      <c r="O724" s="71"/>
      <c r="P724" s="71" t="str">
        <f>IFERROR(INDEX(RECICLADORES!C:C,MATCH(D724,RECICLADORES!B:B,0)),"")</f>
        <v/>
      </c>
      <c r="Q724" s="71" t="str">
        <f>IFERROR(INDEX(RECICLADORES!O:O,MATCH(D724,RECICLADORES!B:B,0)),"")</f>
        <v/>
      </c>
      <c r="R724" s="65"/>
      <c r="S724" s="65"/>
      <c r="T724" s="71"/>
      <c r="U724" s="71"/>
      <c r="V724" s="86"/>
    </row>
    <row r="725" spans="1:22" ht="16.5" thickTop="1" thickBot="1" x14ac:dyDescent="0.3">
      <c r="A725" s="35"/>
      <c r="C725" s="13"/>
      <c r="I725" s="23"/>
      <c r="J725" s="29" t="str">
        <f t="shared" si="9"/>
        <v/>
      </c>
      <c r="L725" s="71"/>
      <c r="M725" s="71"/>
      <c r="N725" s="71"/>
      <c r="O725" s="71"/>
      <c r="P725" s="71" t="str">
        <f>IFERROR(INDEX(RECICLADORES!C:C,MATCH(D725,RECICLADORES!B:B,0)),"")</f>
        <v/>
      </c>
      <c r="Q725" s="71" t="str">
        <f>IFERROR(INDEX(RECICLADORES!O:O,MATCH(D725,RECICLADORES!B:B,0)),"")</f>
        <v/>
      </c>
      <c r="R725" s="65"/>
      <c r="S725" s="65"/>
      <c r="T725" s="71"/>
      <c r="U725" s="71"/>
      <c r="V725" s="86"/>
    </row>
    <row r="726" spans="1:22" ht="16.5" thickTop="1" thickBot="1" x14ac:dyDescent="0.3">
      <c r="A726" s="34"/>
      <c r="C726" s="13"/>
      <c r="I726" s="23"/>
      <c r="J726" s="29" t="str">
        <f t="shared" si="9"/>
        <v/>
      </c>
      <c r="L726" s="71"/>
      <c r="M726" s="71"/>
      <c r="N726" s="71"/>
      <c r="O726" s="71"/>
      <c r="P726" s="71" t="str">
        <f>IFERROR(INDEX(RECICLADORES!C:C,MATCH(D726,RECICLADORES!B:B,0)),"")</f>
        <v/>
      </c>
      <c r="Q726" s="71" t="str">
        <f>IFERROR(INDEX(RECICLADORES!O:O,MATCH(D726,RECICLADORES!B:B,0)),"")</f>
        <v/>
      </c>
      <c r="R726" s="65"/>
      <c r="S726" s="65"/>
      <c r="T726" s="71"/>
      <c r="U726" s="71"/>
      <c r="V726" s="86"/>
    </row>
    <row r="727" spans="1:22" ht="16.5" thickTop="1" thickBot="1" x14ac:dyDescent="0.3">
      <c r="A727" s="35"/>
      <c r="C727" s="13"/>
      <c r="I727" s="23"/>
      <c r="J727" s="29" t="str">
        <f t="shared" si="9"/>
        <v/>
      </c>
      <c r="L727" s="71"/>
      <c r="M727" s="71"/>
      <c r="N727" s="71"/>
      <c r="O727" s="71"/>
      <c r="P727" s="71" t="str">
        <f>IFERROR(INDEX(RECICLADORES!C:C,MATCH(D727,RECICLADORES!B:B,0)),"")</f>
        <v/>
      </c>
      <c r="Q727" s="71" t="str">
        <f>IFERROR(INDEX(RECICLADORES!O:O,MATCH(D727,RECICLADORES!B:B,0)),"")</f>
        <v/>
      </c>
      <c r="R727" s="65"/>
      <c r="S727" s="65"/>
      <c r="T727" s="71"/>
      <c r="U727" s="71"/>
      <c r="V727" s="86"/>
    </row>
    <row r="728" spans="1:22" ht="16.5" thickTop="1" thickBot="1" x14ac:dyDescent="0.3">
      <c r="A728" s="34"/>
      <c r="C728" s="13"/>
      <c r="I728" s="23"/>
      <c r="J728" s="29" t="str">
        <f t="shared" si="9"/>
        <v/>
      </c>
      <c r="L728" s="71"/>
      <c r="M728" s="71"/>
      <c r="N728" s="71"/>
      <c r="O728" s="71"/>
      <c r="P728" s="71" t="str">
        <f>IFERROR(INDEX(RECICLADORES!C:C,MATCH(D728,RECICLADORES!B:B,0)),"")</f>
        <v/>
      </c>
      <c r="Q728" s="71" t="str">
        <f>IFERROR(INDEX(RECICLADORES!O:O,MATCH(D728,RECICLADORES!B:B,0)),"")</f>
        <v/>
      </c>
      <c r="R728" s="65"/>
      <c r="S728" s="65"/>
      <c r="T728" s="71"/>
      <c r="U728" s="71"/>
      <c r="V728" s="86"/>
    </row>
    <row r="729" spans="1:22" ht="16.5" thickTop="1" thickBot="1" x14ac:dyDescent="0.3">
      <c r="A729" s="35"/>
      <c r="C729" s="13"/>
      <c r="I729" s="23"/>
      <c r="J729" s="29" t="str">
        <f t="shared" si="9"/>
        <v/>
      </c>
      <c r="L729" s="71"/>
      <c r="M729" s="71"/>
      <c r="N729" s="71"/>
      <c r="O729" s="71"/>
      <c r="P729" s="71" t="str">
        <f>IFERROR(INDEX(RECICLADORES!C:C,MATCH(D729,RECICLADORES!B:B,0)),"")</f>
        <v/>
      </c>
      <c r="Q729" s="71" t="str">
        <f>IFERROR(INDEX(RECICLADORES!O:O,MATCH(D729,RECICLADORES!B:B,0)),"")</f>
        <v/>
      </c>
      <c r="R729" s="65"/>
      <c r="S729" s="65"/>
      <c r="T729" s="71"/>
      <c r="U729" s="71"/>
      <c r="V729" s="86"/>
    </row>
    <row r="730" spans="1:22" ht="16.5" thickTop="1" thickBot="1" x14ac:dyDescent="0.3">
      <c r="A730" s="34"/>
      <c r="C730" s="13"/>
      <c r="I730" s="23"/>
      <c r="J730" s="29" t="str">
        <f t="shared" si="9"/>
        <v/>
      </c>
      <c r="L730" s="71"/>
      <c r="M730" s="71"/>
      <c r="N730" s="71"/>
      <c r="O730" s="71"/>
      <c r="P730" s="71" t="str">
        <f>IFERROR(INDEX(RECICLADORES!C:C,MATCH(D730,RECICLADORES!B:B,0)),"")</f>
        <v/>
      </c>
      <c r="Q730" s="71" t="str">
        <f>IFERROR(INDEX(RECICLADORES!O:O,MATCH(D730,RECICLADORES!B:B,0)),"")</f>
        <v/>
      </c>
      <c r="R730" s="65"/>
      <c r="S730" s="65"/>
      <c r="T730" s="71"/>
      <c r="U730" s="71"/>
      <c r="V730" s="86"/>
    </row>
    <row r="731" spans="1:22" ht="16.5" thickTop="1" thickBot="1" x14ac:dyDescent="0.3">
      <c r="A731" s="35"/>
      <c r="C731" s="13"/>
      <c r="I731" s="23"/>
      <c r="J731" s="29" t="str">
        <f t="shared" si="9"/>
        <v/>
      </c>
      <c r="L731" s="71"/>
      <c r="M731" s="71"/>
      <c r="N731" s="71"/>
      <c r="O731" s="71"/>
      <c r="P731" s="71" t="str">
        <f>IFERROR(INDEX(RECICLADORES!C:C,MATCH(D731,RECICLADORES!B:B,0)),"")</f>
        <v/>
      </c>
      <c r="Q731" s="71" t="str">
        <f>IFERROR(INDEX(RECICLADORES!O:O,MATCH(D731,RECICLADORES!B:B,0)),"")</f>
        <v/>
      </c>
      <c r="R731" s="65"/>
      <c r="S731" s="65"/>
      <c r="T731" s="71"/>
      <c r="U731" s="71"/>
      <c r="V731" s="86"/>
    </row>
    <row r="732" spans="1:22" ht="16.5" thickTop="1" thickBot="1" x14ac:dyDescent="0.3">
      <c r="A732" s="34"/>
      <c r="C732" s="13"/>
      <c r="I732" s="23"/>
      <c r="J732" s="29" t="str">
        <f t="shared" si="9"/>
        <v/>
      </c>
      <c r="L732" s="71"/>
      <c r="M732" s="71"/>
      <c r="N732" s="71"/>
      <c r="O732" s="71"/>
      <c r="P732" s="71" t="str">
        <f>IFERROR(INDEX(RECICLADORES!C:C,MATCH(D732,RECICLADORES!B:B,0)),"")</f>
        <v/>
      </c>
      <c r="Q732" s="71" t="str">
        <f>IFERROR(INDEX(RECICLADORES!O:O,MATCH(D732,RECICLADORES!B:B,0)),"")</f>
        <v/>
      </c>
      <c r="R732" s="65"/>
      <c r="S732" s="65"/>
      <c r="T732" s="71"/>
      <c r="U732" s="71"/>
      <c r="V732" s="86"/>
    </row>
    <row r="733" spans="1:22" ht="16.5" thickTop="1" thickBot="1" x14ac:dyDescent="0.3">
      <c r="A733" s="35"/>
      <c r="C733" s="13"/>
      <c r="I733" s="23"/>
      <c r="J733" s="29" t="str">
        <f t="shared" si="9"/>
        <v/>
      </c>
      <c r="L733" s="71"/>
      <c r="M733" s="71"/>
      <c r="N733" s="71"/>
      <c r="O733" s="71"/>
      <c r="P733" s="71" t="str">
        <f>IFERROR(INDEX(RECICLADORES!C:C,MATCH(D733,RECICLADORES!B:B,0)),"")</f>
        <v/>
      </c>
      <c r="Q733" s="71" t="str">
        <f>IFERROR(INDEX(RECICLADORES!O:O,MATCH(D733,RECICLADORES!B:B,0)),"")</f>
        <v/>
      </c>
      <c r="R733" s="65"/>
      <c r="S733" s="65"/>
      <c r="T733" s="71"/>
      <c r="U733" s="71"/>
      <c r="V733" s="86"/>
    </row>
    <row r="734" spans="1:22" ht="16.5" thickTop="1" thickBot="1" x14ac:dyDescent="0.3">
      <c r="A734" s="34"/>
      <c r="C734" s="13"/>
      <c r="I734" s="23"/>
      <c r="J734" s="29" t="str">
        <f t="shared" si="9"/>
        <v/>
      </c>
      <c r="L734" s="71"/>
      <c r="M734" s="71"/>
      <c r="N734" s="71"/>
      <c r="O734" s="71"/>
      <c r="P734" s="71" t="str">
        <f>IFERROR(INDEX(RECICLADORES!C:C,MATCH(D734,RECICLADORES!B:B,0)),"")</f>
        <v/>
      </c>
      <c r="Q734" s="71" t="str">
        <f>IFERROR(INDEX(RECICLADORES!O:O,MATCH(D734,RECICLADORES!B:B,0)),"")</f>
        <v/>
      </c>
      <c r="R734" s="65"/>
      <c r="S734" s="65"/>
      <c r="T734" s="71"/>
      <c r="U734" s="71"/>
      <c r="V734" s="86"/>
    </row>
    <row r="735" spans="1:22" ht="16.5" thickTop="1" thickBot="1" x14ac:dyDescent="0.3">
      <c r="A735" s="35"/>
      <c r="C735" s="13"/>
      <c r="I735" s="23"/>
      <c r="J735" s="29" t="str">
        <f t="shared" si="9"/>
        <v/>
      </c>
      <c r="L735" s="71"/>
      <c r="M735" s="71"/>
      <c r="N735" s="71"/>
      <c r="O735" s="71"/>
      <c r="P735" s="71" t="str">
        <f>IFERROR(INDEX(RECICLADORES!C:C,MATCH(D735,RECICLADORES!B:B,0)),"")</f>
        <v/>
      </c>
      <c r="Q735" s="71" t="str">
        <f>IFERROR(INDEX(RECICLADORES!O:O,MATCH(D735,RECICLADORES!B:B,0)),"")</f>
        <v/>
      </c>
      <c r="R735" s="65"/>
      <c r="S735" s="65"/>
      <c r="T735" s="71"/>
      <c r="U735" s="71"/>
      <c r="V735" s="86"/>
    </row>
    <row r="736" spans="1:22" ht="16.5" thickTop="1" thickBot="1" x14ac:dyDescent="0.3">
      <c r="A736" s="34"/>
      <c r="C736" s="13"/>
      <c r="I736" s="23"/>
      <c r="J736" s="29" t="str">
        <f t="shared" si="9"/>
        <v/>
      </c>
      <c r="L736" s="71"/>
      <c r="M736" s="71"/>
      <c r="N736" s="71"/>
      <c r="O736" s="71"/>
      <c r="P736" s="71" t="str">
        <f>IFERROR(INDEX(RECICLADORES!C:C,MATCH(D736,RECICLADORES!B:B,0)),"")</f>
        <v/>
      </c>
      <c r="Q736" s="71" t="str">
        <f>IFERROR(INDEX(RECICLADORES!O:O,MATCH(D736,RECICLADORES!B:B,0)),"")</f>
        <v/>
      </c>
      <c r="R736" s="65"/>
      <c r="S736" s="65"/>
      <c r="T736" s="71"/>
      <c r="U736" s="71"/>
      <c r="V736" s="86"/>
    </row>
    <row r="737" spans="1:22" ht="16.5" thickTop="1" thickBot="1" x14ac:dyDescent="0.3">
      <c r="A737" s="35"/>
      <c r="C737" s="13"/>
      <c r="I737" s="23"/>
      <c r="J737" s="29" t="str">
        <f t="shared" si="9"/>
        <v/>
      </c>
      <c r="L737" s="71"/>
      <c r="M737" s="71"/>
      <c r="N737" s="71"/>
      <c r="O737" s="71"/>
      <c r="P737" s="71" t="str">
        <f>IFERROR(INDEX(RECICLADORES!C:C,MATCH(D737,RECICLADORES!B:B,0)),"")</f>
        <v/>
      </c>
      <c r="Q737" s="71" t="str">
        <f>IFERROR(INDEX(RECICLADORES!O:O,MATCH(D737,RECICLADORES!B:B,0)),"")</f>
        <v/>
      </c>
      <c r="R737" s="65"/>
      <c r="S737" s="65"/>
      <c r="T737" s="71"/>
      <c r="U737" s="71"/>
      <c r="V737" s="86"/>
    </row>
    <row r="738" spans="1:22" ht="16.5" thickTop="1" thickBot="1" x14ac:dyDescent="0.3">
      <c r="A738" s="34"/>
      <c r="C738" s="13"/>
      <c r="I738" s="23"/>
      <c r="J738" s="29" t="str">
        <f t="shared" si="9"/>
        <v/>
      </c>
      <c r="L738" s="71"/>
      <c r="M738" s="71"/>
      <c r="N738" s="71"/>
      <c r="O738" s="71"/>
      <c r="P738" s="71" t="str">
        <f>IFERROR(INDEX(RECICLADORES!C:C,MATCH(D738,RECICLADORES!B:B,0)),"")</f>
        <v/>
      </c>
      <c r="Q738" s="71" t="str">
        <f>IFERROR(INDEX(RECICLADORES!O:O,MATCH(D738,RECICLADORES!B:B,0)),"")</f>
        <v/>
      </c>
      <c r="R738" s="65"/>
      <c r="S738" s="65"/>
      <c r="T738" s="71"/>
      <c r="U738" s="71"/>
      <c r="V738" s="86"/>
    </row>
    <row r="739" spans="1:22" ht="16.5" thickTop="1" thickBot="1" x14ac:dyDescent="0.3">
      <c r="A739" s="35"/>
      <c r="C739" s="13"/>
      <c r="I739" s="23"/>
      <c r="J739" s="29" t="str">
        <f t="shared" si="9"/>
        <v/>
      </c>
      <c r="L739" s="71"/>
      <c r="M739" s="71"/>
      <c r="N739" s="71"/>
      <c r="O739" s="71"/>
      <c r="P739" s="71" t="str">
        <f>IFERROR(INDEX(RECICLADORES!C:C,MATCH(D739,RECICLADORES!B:B,0)),"")</f>
        <v/>
      </c>
      <c r="Q739" s="71" t="str">
        <f>IFERROR(INDEX(RECICLADORES!O:O,MATCH(D739,RECICLADORES!B:B,0)),"")</f>
        <v/>
      </c>
      <c r="R739" s="65"/>
      <c r="S739" s="65"/>
      <c r="T739" s="71"/>
      <c r="U739" s="71"/>
      <c r="V739" s="86"/>
    </row>
    <row r="740" spans="1:22" ht="16.5" thickTop="1" thickBot="1" x14ac:dyDescent="0.3">
      <c r="A740" s="34"/>
      <c r="C740" s="13"/>
      <c r="I740" s="23"/>
      <c r="J740" s="29" t="str">
        <f t="shared" si="9"/>
        <v/>
      </c>
      <c r="L740" s="71"/>
      <c r="M740" s="71"/>
      <c r="N740" s="71"/>
      <c r="O740" s="71"/>
      <c r="P740" s="71" t="str">
        <f>IFERROR(INDEX(RECICLADORES!C:C,MATCH(D740,RECICLADORES!B:B,0)),"")</f>
        <v/>
      </c>
      <c r="Q740" s="71" t="str">
        <f>IFERROR(INDEX(RECICLADORES!O:O,MATCH(D740,RECICLADORES!B:B,0)),"")</f>
        <v/>
      </c>
      <c r="R740" s="65"/>
      <c r="S740" s="65"/>
      <c r="T740" s="71"/>
      <c r="U740" s="71"/>
      <c r="V740" s="86"/>
    </row>
    <row r="741" spans="1:22" ht="16.5" thickTop="1" thickBot="1" x14ac:dyDescent="0.3">
      <c r="A741" s="35"/>
      <c r="C741" s="13"/>
      <c r="I741" s="23"/>
      <c r="J741" s="29" t="str">
        <f t="shared" si="9"/>
        <v/>
      </c>
      <c r="L741" s="71"/>
      <c r="M741" s="71"/>
      <c r="N741" s="71"/>
      <c r="O741" s="71"/>
      <c r="P741" s="71" t="str">
        <f>IFERROR(INDEX(RECICLADORES!C:C,MATCH(D741,RECICLADORES!B:B,0)),"")</f>
        <v/>
      </c>
      <c r="Q741" s="71" t="str">
        <f>IFERROR(INDEX(RECICLADORES!O:O,MATCH(D741,RECICLADORES!B:B,0)),"")</f>
        <v/>
      </c>
      <c r="R741" s="65"/>
      <c r="S741" s="65"/>
      <c r="T741" s="71"/>
      <c r="U741" s="71"/>
      <c r="V741" s="86"/>
    </row>
    <row r="742" spans="1:22" ht="16.5" thickTop="1" thickBot="1" x14ac:dyDescent="0.3">
      <c r="A742" s="34"/>
      <c r="C742" s="13"/>
      <c r="I742" s="23"/>
      <c r="J742" s="29" t="str">
        <f t="shared" si="9"/>
        <v/>
      </c>
      <c r="L742" s="71"/>
      <c r="M742" s="71"/>
      <c r="N742" s="71"/>
      <c r="O742" s="71"/>
      <c r="P742" s="71" t="str">
        <f>IFERROR(INDEX(RECICLADORES!C:C,MATCH(D742,RECICLADORES!B:B,0)),"")</f>
        <v/>
      </c>
      <c r="Q742" s="71" t="str">
        <f>IFERROR(INDEX(RECICLADORES!O:O,MATCH(D742,RECICLADORES!B:B,0)),"")</f>
        <v/>
      </c>
      <c r="R742" s="65"/>
      <c r="S742" s="65"/>
      <c r="T742" s="71"/>
      <c r="U742" s="71"/>
      <c r="V742" s="86"/>
    </row>
    <row r="743" spans="1:22" ht="16.5" thickTop="1" thickBot="1" x14ac:dyDescent="0.3">
      <c r="A743" s="35"/>
      <c r="C743" s="13"/>
      <c r="I743" s="23"/>
      <c r="J743" s="29" t="str">
        <f t="shared" si="9"/>
        <v/>
      </c>
      <c r="L743" s="71"/>
      <c r="M743" s="71"/>
      <c r="N743" s="71"/>
      <c r="O743" s="71"/>
      <c r="P743" s="71" t="str">
        <f>IFERROR(INDEX(RECICLADORES!C:C,MATCH(D743,RECICLADORES!B:B,0)),"")</f>
        <v/>
      </c>
      <c r="Q743" s="71" t="str">
        <f>IFERROR(INDEX(RECICLADORES!O:O,MATCH(D743,RECICLADORES!B:B,0)),"")</f>
        <v/>
      </c>
      <c r="R743" s="65"/>
      <c r="S743" s="65"/>
      <c r="T743" s="71"/>
      <c r="U743" s="71"/>
      <c r="V743" s="86"/>
    </row>
    <row r="744" spans="1:22" ht="16.5" thickTop="1" thickBot="1" x14ac:dyDescent="0.3">
      <c r="A744" s="35"/>
      <c r="C744" s="13"/>
      <c r="I744" s="23"/>
      <c r="J744" s="29" t="str">
        <f t="shared" si="9"/>
        <v/>
      </c>
      <c r="L744" s="71"/>
      <c r="M744" s="71"/>
      <c r="N744" s="71"/>
      <c r="O744" s="71"/>
      <c r="P744" s="71" t="str">
        <f>IFERROR(INDEX(RECICLADORES!C:C,MATCH(D744,RECICLADORES!B:B,0)),"")</f>
        <v/>
      </c>
      <c r="Q744" s="71" t="str">
        <f>IFERROR(INDEX(RECICLADORES!O:O,MATCH(D744,RECICLADORES!B:B,0)),"")</f>
        <v/>
      </c>
      <c r="R744" s="65"/>
      <c r="S744" s="65"/>
      <c r="T744" s="71"/>
      <c r="U744" s="71"/>
      <c r="V744" s="86"/>
    </row>
    <row r="745" spans="1:22" ht="16.5" thickTop="1" thickBot="1" x14ac:dyDescent="0.3">
      <c r="A745" s="34"/>
      <c r="C745" s="13"/>
      <c r="I745" s="23"/>
      <c r="J745" s="29" t="str">
        <f t="shared" si="9"/>
        <v/>
      </c>
      <c r="L745" s="71"/>
      <c r="M745" s="71"/>
      <c r="N745" s="71"/>
      <c r="O745" s="71"/>
      <c r="P745" s="71" t="str">
        <f>IFERROR(INDEX(RECICLADORES!C:C,MATCH(D745,RECICLADORES!B:B,0)),"")</f>
        <v/>
      </c>
      <c r="Q745" s="71" t="str">
        <f>IFERROR(INDEX(RECICLADORES!O:O,MATCH(D745,RECICLADORES!B:B,0)),"")</f>
        <v/>
      </c>
      <c r="R745" s="65"/>
      <c r="S745" s="65"/>
      <c r="T745" s="71"/>
      <c r="U745" s="71"/>
      <c r="V745" s="86"/>
    </row>
    <row r="746" spans="1:22" ht="16.5" thickTop="1" thickBot="1" x14ac:dyDescent="0.3">
      <c r="A746" s="35"/>
      <c r="C746" s="13"/>
      <c r="I746" s="23"/>
      <c r="J746" s="29" t="str">
        <f t="shared" si="9"/>
        <v/>
      </c>
      <c r="L746" s="71"/>
      <c r="M746" s="71"/>
      <c r="N746" s="71"/>
      <c r="O746" s="71"/>
      <c r="P746" s="71" t="str">
        <f>IFERROR(INDEX(RECICLADORES!C:C,MATCH(D746,RECICLADORES!B:B,0)),"")</f>
        <v/>
      </c>
      <c r="Q746" s="71" t="str">
        <f>IFERROR(INDEX(RECICLADORES!O:O,MATCH(D746,RECICLADORES!B:B,0)),"")</f>
        <v/>
      </c>
      <c r="R746" s="65"/>
      <c r="S746" s="65"/>
      <c r="T746" s="71"/>
      <c r="U746" s="71"/>
      <c r="V746" s="86"/>
    </row>
    <row r="747" spans="1:22" ht="16.5" thickTop="1" thickBot="1" x14ac:dyDescent="0.3">
      <c r="A747" s="34"/>
      <c r="C747" s="13"/>
      <c r="I747" s="23"/>
      <c r="J747" s="29" t="str">
        <f t="shared" ref="J747:J810" si="10">IF(C747="","",INT((DAY(C747)-1)/7)+1)</f>
        <v/>
      </c>
      <c r="L747" s="71"/>
      <c r="M747" s="71"/>
      <c r="N747" s="71"/>
      <c r="O747" s="71"/>
      <c r="P747" s="71" t="str">
        <f>IFERROR(INDEX(RECICLADORES!C:C,MATCH(D747,RECICLADORES!B:B,0)),"")</f>
        <v/>
      </c>
      <c r="Q747" s="71" t="str">
        <f>IFERROR(INDEX(RECICLADORES!O:O,MATCH(D747,RECICLADORES!B:B,0)),"")</f>
        <v/>
      </c>
      <c r="R747" s="65"/>
      <c r="S747" s="65"/>
      <c r="T747" s="71"/>
      <c r="U747" s="71"/>
      <c r="V747" s="86"/>
    </row>
    <row r="748" spans="1:22" ht="16.5" thickTop="1" thickBot="1" x14ac:dyDescent="0.3">
      <c r="A748" s="35"/>
      <c r="C748" s="13"/>
      <c r="I748" s="23"/>
      <c r="J748" s="29" t="str">
        <f t="shared" si="10"/>
        <v/>
      </c>
      <c r="L748" s="71"/>
      <c r="M748" s="71"/>
      <c r="N748" s="71"/>
      <c r="O748" s="71"/>
      <c r="P748" s="71" t="str">
        <f>IFERROR(INDEX(RECICLADORES!C:C,MATCH(D748,RECICLADORES!B:B,0)),"")</f>
        <v/>
      </c>
      <c r="Q748" s="71" t="str">
        <f>IFERROR(INDEX(RECICLADORES!O:O,MATCH(D748,RECICLADORES!B:B,0)),"")</f>
        <v/>
      </c>
      <c r="R748" s="65"/>
      <c r="S748" s="65"/>
      <c r="T748" s="71"/>
      <c r="U748" s="71"/>
      <c r="V748" s="86"/>
    </row>
    <row r="749" spans="1:22" ht="16.5" thickTop="1" thickBot="1" x14ac:dyDescent="0.3">
      <c r="A749" s="34"/>
      <c r="C749" s="13"/>
      <c r="I749" s="23"/>
      <c r="J749" s="29" t="str">
        <f t="shared" si="10"/>
        <v/>
      </c>
      <c r="L749" s="71"/>
      <c r="M749" s="71"/>
      <c r="N749" s="71"/>
      <c r="O749" s="71"/>
      <c r="P749" s="71" t="str">
        <f>IFERROR(INDEX(RECICLADORES!C:C,MATCH(D749,RECICLADORES!B:B,0)),"")</f>
        <v/>
      </c>
      <c r="Q749" s="71" t="str">
        <f>IFERROR(INDEX(RECICLADORES!O:O,MATCH(D749,RECICLADORES!B:B,0)),"")</f>
        <v/>
      </c>
      <c r="R749" s="65"/>
      <c r="S749" s="65"/>
      <c r="T749" s="71"/>
      <c r="U749" s="71"/>
      <c r="V749" s="86"/>
    </row>
    <row r="750" spans="1:22" ht="16.5" thickTop="1" thickBot="1" x14ac:dyDescent="0.3">
      <c r="A750" s="35"/>
      <c r="C750" s="13"/>
      <c r="I750" s="23"/>
      <c r="J750" s="29" t="str">
        <f t="shared" si="10"/>
        <v/>
      </c>
      <c r="L750" s="71"/>
      <c r="M750" s="71"/>
      <c r="N750" s="71"/>
      <c r="O750" s="71"/>
      <c r="P750" s="71" t="str">
        <f>IFERROR(INDEX(RECICLADORES!C:C,MATCH(D750,RECICLADORES!B:B,0)),"")</f>
        <v/>
      </c>
      <c r="Q750" s="71" t="str">
        <f>IFERROR(INDEX(RECICLADORES!O:O,MATCH(D750,RECICLADORES!B:B,0)),"")</f>
        <v/>
      </c>
      <c r="R750" s="65"/>
      <c r="S750" s="65"/>
      <c r="T750" s="71"/>
      <c r="U750" s="71"/>
      <c r="V750" s="86"/>
    </row>
    <row r="751" spans="1:22" ht="16.5" thickTop="1" thickBot="1" x14ac:dyDescent="0.3">
      <c r="A751" s="34"/>
      <c r="C751" s="13"/>
      <c r="I751" s="23"/>
      <c r="J751" s="29" t="str">
        <f t="shared" si="10"/>
        <v/>
      </c>
      <c r="L751" s="71"/>
      <c r="M751" s="71"/>
      <c r="N751" s="71"/>
      <c r="O751" s="71"/>
      <c r="P751" s="71" t="str">
        <f>IFERROR(INDEX(RECICLADORES!C:C,MATCH(D751,RECICLADORES!B:B,0)),"")</f>
        <v/>
      </c>
      <c r="Q751" s="71" t="str">
        <f>IFERROR(INDEX(RECICLADORES!O:O,MATCH(D751,RECICLADORES!B:B,0)),"")</f>
        <v/>
      </c>
      <c r="R751" s="65"/>
      <c r="S751" s="65"/>
      <c r="T751" s="71"/>
      <c r="U751" s="71"/>
      <c r="V751" s="86"/>
    </row>
    <row r="752" spans="1:22" ht="16.5" thickTop="1" thickBot="1" x14ac:dyDescent="0.3">
      <c r="A752" s="35"/>
      <c r="C752" s="13"/>
      <c r="I752" s="23"/>
      <c r="J752" s="29" t="str">
        <f t="shared" si="10"/>
        <v/>
      </c>
      <c r="L752" s="71"/>
      <c r="M752" s="71"/>
      <c r="N752" s="71"/>
      <c r="O752" s="71"/>
      <c r="P752" s="71" t="str">
        <f>IFERROR(INDEX(RECICLADORES!C:C,MATCH(D752,RECICLADORES!B:B,0)),"")</f>
        <v/>
      </c>
      <c r="Q752" s="71" t="str">
        <f>IFERROR(INDEX(RECICLADORES!O:O,MATCH(D752,RECICLADORES!B:B,0)),"")</f>
        <v/>
      </c>
      <c r="R752" s="65"/>
      <c r="S752" s="65"/>
      <c r="T752" s="71"/>
      <c r="U752" s="71"/>
      <c r="V752" s="86"/>
    </row>
    <row r="753" spans="1:22" ht="16.5" thickTop="1" thickBot="1" x14ac:dyDescent="0.3">
      <c r="A753" s="34"/>
      <c r="C753" s="13"/>
      <c r="I753" s="23"/>
      <c r="J753" s="29" t="str">
        <f t="shared" si="10"/>
        <v/>
      </c>
      <c r="L753" s="71"/>
      <c r="M753" s="71"/>
      <c r="N753" s="71"/>
      <c r="O753" s="71"/>
      <c r="P753" s="71" t="str">
        <f>IFERROR(INDEX(RECICLADORES!C:C,MATCH(D753,RECICLADORES!B:B,0)),"")</f>
        <v/>
      </c>
      <c r="Q753" s="71" t="str">
        <f>IFERROR(INDEX(RECICLADORES!O:O,MATCH(D753,RECICLADORES!B:B,0)),"")</f>
        <v/>
      </c>
      <c r="R753" s="65"/>
      <c r="S753" s="65"/>
      <c r="T753" s="71"/>
      <c r="U753" s="71"/>
      <c r="V753" s="86"/>
    </row>
    <row r="754" spans="1:22" ht="16.5" thickTop="1" thickBot="1" x14ac:dyDescent="0.3">
      <c r="A754" s="35"/>
      <c r="C754" s="13"/>
      <c r="I754" s="23"/>
      <c r="J754" s="29" t="str">
        <f t="shared" si="10"/>
        <v/>
      </c>
      <c r="L754" s="71"/>
      <c r="M754" s="71"/>
      <c r="N754" s="71"/>
      <c r="O754" s="71"/>
      <c r="P754" s="71" t="str">
        <f>IFERROR(INDEX(RECICLADORES!C:C,MATCH(D754,RECICLADORES!B:B,0)),"")</f>
        <v/>
      </c>
      <c r="Q754" s="71" t="str">
        <f>IFERROR(INDEX(RECICLADORES!O:O,MATCH(D754,RECICLADORES!B:B,0)),"")</f>
        <v/>
      </c>
      <c r="R754" s="65"/>
      <c r="S754" s="65"/>
      <c r="T754" s="71"/>
      <c r="U754" s="71"/>
      <c r="V754" s="86"/>
    </row>
    <row r="755" spans="1:22" ht="16.5" thickTop="1" thickBot="1" x14ac:dyDescent="0.3">
      <c r="A755" s="34"/>
      <c r="C755" s="13"/>
      <c r="I755" s="23"/>
      <c r="J755" s="29" t="str">
        <f t="shared" si="10"/>
        <v/>
      </c>
      <c r="L755" s="71"/>
      <c r="M755" s="71"/>
      <c r="N755" s="71"/>
      <c r="O755" s="71"/>
      <c r="P755" s="71" t="str">
        <f>IFERROR(INDEX(RECICLADORES!C:C,MATCH(D755,RECICLADORES!B:B,0)),"")</f>
        <v/>
      </c>
      <c r="Q755" s="71" t="str">
        <f>IFERROR(INDEX(RECICLADORES!O:O,MATCH(D755,RECICLADORES!B:B,0)),"")</f>
        <v/>
      </c>
      <c r="R755" s="65"/>
      <c r="S755" s="65"/>
      <c r="T755" s="71"/>
      <c r="U755" s="71"/>
      <c r="V755" s="86"/>
    </row>
    <row r="756" spans="1:22" ht="16.5" thickTop="1" thickBot="1" x14ac:dyDescent="0.3">
      <c r="A756" s="35"/>
      <c r="C756" s="13"/>
      <c r="I756" s="23"/>
      <c r="J756" s="29" t="str">
        <f t="shared" si="10"/>
        <v/>
      </c>
      <c r="L756" s="71"/>
      <c r="M756" s="71"/>
      <c r="N756" s="71"/>
      <c r="O756" s="71"/>
      <c r="P756" s="71" t="str">
        <f>IFERROR(INDEX(RECICLADORES!C:C,MATCH(D756,RECICLADORES!B:B,0)),"")</f>
        <v/>
      </c>
      <c r="Q756" s="71" t="str">
        <f>IFERROR(INDEX(RECICLADORES!O:O,MATCH(D756,RECICLADORES!B:B,0)),"")</f>
        <v/>
      </c>
      <c r="R756" s="65"/>
      <c r="S756" s="65"/>
      <c r="T756" s="71"/>
      <c r="U756" s="71"/>
      <c r="V756" s="86"/>
    </row>
    <row r="757" spans="1:22" ht="16.5" thickTop="1" thickBot="1" x14ac:dyDescent="0.3">
      <c r="A757" s="34"/>
      <c r="C757" s="13"/>
      <c r="I757" s="23"/>
      <c r="J757" s="29" t="str">
        <f t="shared" si="10"/>
        <v/>
      </c>
      <c r="L757" s="71"/>
      <c r="M757" s="71"/>
      <c r="N757" s="71"/>
      <c r="O757" s="71"/>
      <c r="P757" s="71" t="str">
        <f>IFERROR(INDEX(RECICLADORES!C:C,MATCH(D757,RECICLADORES!B:B,0)),"")</f>
        <v/>
      </c>
      <c r="Q757" s="71" t="str">
        <f>IFERROR(INDEX(RECICLADORES!O:O,MATCH(D757,RECICLADORES!B:B,0)),"")</f>
        <v/>
      </c>
      <c r="R757" s="65"/>
      <c r="S757" s="65"/>
      <c r="T757" s="71"/>
      <c r="U757" s="71"/>
      <c r="V757" s="86"/>
    </row>
    <row r="758" spans="1:22" ht="16.5" thickTop="1" thickBot="1" x14ac:dyDescent="0.3">
      <c r="A758" s="35"/>
      <c r="C758" s="13"/>
      <c r="I758" s="23"/>
      <c r="J758" s="29" t="str">
        <f t="shared" si="10"/>
        <v/>
      </c>
      <c r="L758" s="71"/>
      <c r="M758" s="71"/>
      <c r="N758" s="71"/>
      <c r="O758" s="71"/>
      <c r="P758" s="71" t="str">
        <f>IFERROR(INDEX(RECICLADORES!C:C,MATCH(D758,RECICLADORES!B:B,0)),"")</f>
        <v/>
      </c>
      <c r="Q758" s="71" t="str">
        <f>IFERROR(INDEX(RECICLADORES!O:O,MATCH(D758,RECICLADORES!B:B,0)),"")</f>
        <v/>
      </c>
      <c r="R758" s="65"/>
      <c r="S758" s="65"/>
      <c r="T758" s="71"/>
      <c r="U758" s="71"/>
      <c r="V758" s="86"/>
    </row>
    <row r="759" spans="1:22" ht="16.5" thickTop="1" thickBot="1" x14ac:dyDescent="0.3">
      <c r="A759" s="34"/>
      <c r="C759" s="13"/>
      <c r="I759" s="23"/>
      <c r="J759" s="29" t="str">
        <f t="shared" si="10"/>
        <v/>
      </c>
      <c r="L759" s="71"/>
      <c r="M759" s="71"/>
      <c r="N759" s="71"/>
      <c r="O759" s="71"/>
      <c r="P759" s="71" t="str">
        <f>IFERROR(INDEX(RECICLADORES!C:C,MATCH(D759,RECICLADORES!B:B,0)),"")</f>
        <v/>
      </c>
      <c r="Q759" s="71" t="str">
        <f>IFERROR(INDEX(RECICLADORES!O:O,MATCH(D759,RECICLADORES!B:B,0)),"")</f>
        <v/>
      </c>
      <c r="R759" s="65"/>
      <c r="S759" s="65"/>
      <c r="T759" s="71"/>
      <c r="U759" s="71"/>
      <c r="V759" s="86"/>
    </row>
    <row r="760" spans="1:22" ht="16.5" thickTop="1" thickBot="1" x14ac:dyDescent="0.3">
      <c r="A760" s="35"/>
      <c r="C760" s="13"/>
      <c r="I760" s="23"/>
      <c r="J760" s="29" t="str">
        <f t="shared" si="10"/>
        <v/>
      </c>
      <c r="L760" s="71"/>
      <c r="M760" s="71"/>
      <c r="N760" s="71"/>
      <c r="O760" s="71"/>
      <c r="P760" s="71" t="str">
        <f>IFERROR(INDEX(RECICLADORES!C:C,MATCH(D760,RECICLADORES!B:B,0)),"")</f>
        <v/>
      </c>
      <c r="Q760" s="71" t="str">
        <f>IFERROR(INDEX(RECICLADORES!O:O,MATCH(D760,RECICLADORES!B:B,0)),"")</f>
        <v/>
      </c>
      <c r="R760" s="65"/>
      <c r="S760" s="65"/>
      <c r="T760" s="71"/>
      <c r="U760" s="71"/>
      <c r="V760" s="86"/>
    </row>
    <row r="761" spans="1:22" ht="16.5" thickTop="1" thickBot="1" x14ac:dyDescent="0.3">
      <c r="A761" s="34"/>
      <c r="C761" s="13"/>
      <c r="I761" s="23"/>
      <c r="J761" s="29" t="str">
        <f t="shared" si="10"/>
        <v/>
      </c>
      <c r="L761" s="71"/>
      <c r="M761" s="71"/>
      <c r="N761" s="71"/>
      <c r="O761" s="71"/>
      <c r="P761" s="71" t="str">
        <f>IFERROR(INDEX(RECICLADORES!C:C,MATCH(D761,RECICLADORES!B:B,0)),"")</f>
        <v/>
      </c>
      <c r="Q761" s="71" t="str">
        <f>IFERROR(INDEX(RECICLADORES!O:O,MATCH(D761,RECICLADORES!B:B,0)),"")</f>
        <v/>
      </c>
      <c r="R761" s="65"/>
      <c r="S761" s="65"/>
      <c r="T761" s="71"/>
      <c r="U761" s="71"/>
      <c r="V761" s="86"/>
    </row>
    <row r="762" spans="1:22" ht="16.5" thickTop="1" thickBot="1" x14ac:dyDescent="0.3">
      <c r="A762" s="35"/>
      <c r="C762" s="13"/>
      <c r="I762" s="23"/>
      <c r="J762" s="29" t="str">
        <f t="shared" si="10"/>
        <v/>
      </c>
      <c r="L762" s="71"/>
      <c r="M762" s="71"/>
      <c r="N762" s="71"/>
      <c r="O762" s="71"/>
      <c r="P762" s="71" t="str">
        <f>IFERROR(INDEX(RECICLADORES!C:C,MATCH(D762,RECICLADORES!B:B,0)),"")</f>
        <v/>
      </c>
      <c r="Q762" s="71" t="str">
        <f>IFERROR(INDEX(RECICLADORES!O:O,MATCH(D762,RECICLADORES!B:B,0)),"")</f>
        <v/>
      </c>
      <c r="R762" s="65"/>
      <c r="S762" s="65"/>
      <c r="T762" s="71"/>
      <c r="U762" s="71"/>
      <c r="V762" s="86"/>
    </row>
    <row r="763" spans="1:22" ht="16.5" thickTop="1" thickBot="1" x14ac:dyDescent="0.3">
      <c r="A763" s="34"/>
      <c r="C763" s="13"/>
      <c r="I763" s="23"/>
      <c r="J763" s="29" t="str">
        <f t="shared" si="10"/>
        <v/>
      </c>
      <c r="L763" s="71"/>
      <c r="M763" s="71"/>
      <c r="N763" s="71"/>
      <c r="O763" s="71"/>
      <c r="P763" s="71" t="str">
        <f>IFERROR(INDEX(RECICLADORES!C:C,MATCH(D763,RECICLADORES!B:B,0)),"")</f>
        <v/>
      </c>
      <c r="Q763" s="71" t="str">
        <f>IFERROR(INDEX(RECICLADORES!O:O,MATCH(D763,RECICLADORES!B:B,0)),"")</f>
        <v/>
      </c>
      <c r="R763" s="65"/>
      <c r="S763" s="65"/>
      <c r="T763" s="71"/>
      <c r="U763" s="71"/>
      <c r="V763" s="86"/>
    </row>
    <row r="764" spans="1:22" ht="16.5" thickTop="1" thickBot="1" x14ac:dyDescent="0.3">
      <c r="A764" s="35"/>
      <c r="C764" s="13"/>
      <c r="I764" s="23"/>
      <c r="J764" s="29" t="str">
        <f t="shared" si="10"/>
        <v/>
      </c>
      <c r="L764" s="71"/>
      <c r="M764" s="71"/>
      <c r="N764" s="71"/>
      <c r="O764" s="71"/>
      <c r="P764" s="71" t="str">
        <f>IFERROR(INDEX(RECICLADORES!C:C,MATCH(D764,RECICLADORES!B:B,0)),"")</f>
        <v/>
      </c>
      <c r="Q764" s="71" t="str">
        <f>IFERROR(INDEX(RECICLADORES!O:O,MATCH(D764,RECICLADORES!B:B,0)),"")</f>
        <v/>
      </c>
      <c r="R764" s="65"/>
      <c r="S764" s="65"/>
      <c r="T764" s="71"/>
      <c r="U764" s="71"/>
      <c r="V764" s="86"/>
    </row>
    <row r="765" spans="1:22" ht="16.5" thickTop="1" thickBot="1" x14ac:dyDescent="0.3">
      <c r="A765" s="34"/>
      <c r="C765" s="13"/>
      <c r="I765" s="23"/>
      <c r="J765" s="29" t="str">
        <f t="shared" si="10"/>
        <v/>
      </c>
      <c r="L765" s="71"/>
      <c r="M765" s="71"/>
      <c r="N765" s="71"/>
      <c r="O765" s="71"/>
      <c r="P765" s="71" t="str">
        <f>IFERROR(INDEX(RECICLADORES!C:C,MATCH(D765,RECICLADORES!B:B,0)),"")</f>
        <v/>
      </c>
      <c r="Q765" s="71" t="str">
        <f>IFERROR(INDEX(RECICLADORES!O:O,MATCH(D765,RECICLADORES!B:B,0)),"")</f>
        <v/>
      </c>
      <c r="R765" s="65"/>
      <c r="S765" s="65"/>
      <c r="T765" s="71"/>
      <c r="U765" s="71"/>
      <c r="V765" s="86"/>
    </row>
    <row r="766" spans="1:22" ht="16.5" thickTop="1" thickBot="1" x14ac:dyDescent="0.3">
      <c r="A766" s="35"/>
      <c r="C766" s="13"/>
      <c r="I766" s="23"/>
      <c r="J766" s="29" t="str">
        <f t="shared" si="10"/>
        <v/>
      </c>
      <c r="L766" s="71"/>
      <c r="M766" s="71"/>
      <c r="N766" s="71"/>
      <c r="O766" s="71"/>
      <c r="P766" s="71" t="str">
        <f>IFERROR(INDEX(RECICLADORES!C:C,MATCH(D766,RECICLADORES!B:B,0)),"")</f>
        <v/>
      </c>
      <c r="Q766" s="71" t="str">
        <f>IFERROR(INDEX(RECICLADORES!O:O,MATCH(D766,RECICLADORES!B:B,0)),"")</f>
        <v/>
      </c>
      <c r="R766" s="65"/>
      <c r="S766" s="65"/>
      <c r="T766" s="71"/>
      <c r="U766" s="71"/>
      <c r="V766" s="86"/>
    </row>
    <row r="767" spans="1:22" ht="16.5" thickTop="1" thickBot="1" x14ac:dyDescent="0.3">
      <c r="A767" s="34"/>
      <c r="C767" s="13"/>
      <c r="I767" s="23"/>
      <c r="J767" s="29" t="str">
        <f t="shared" si="10"/>
        <v/>
      </c>
      <c r="L767" s="71"/>
      <c r="M767" s="71"/>
      <c r="N767" s="71"/>
      <c r="O767" s="71"/>
      <c r="P767" s="71" t="str">
        <f>IFERROR(INDEX(RECICLADORES!C:C,MATCH(D767,RECICLADORES!B:B,0)),"")</f>
        <v/>
      </c>
      <c r="Q767" s="71" t="str">
        <f>IFERROR(INDEX(RECICLADORES!O:O,MATCH(D767,RECICLADORES!B:B,0)),"")</f>
        <v/>
      </c>
      <c r="R767" s="65"/>
      <c r="S767" s="65"/>
      <c r="T767" s="71"/>
      <c r="U767" s="71"/>
      <c r="V767" s="86"/>
    </row>
    <row r="768" spans="1:22" ht="16.5" thickTop="1" thickBot="1" x14ac:dyDescent="0.3">
      <c r="A768" s="35"/>
      <c r="C768" s="13"/>
      <c r="I768" s="23"/>
      <c r="J768" s="29" t="str">
        <f t="shared" si="10"/>
        <v/>
      </c>
      <c r="L768" s="71"/>
      <c r="M768" s="71"/>
      <c r="N768" s="71"/>
      <c r="O768" s="71"/>
      <c r="P768" s="71" t="str">
        <f>IFERROR(INDEX(RECICLADORES!C:C,MATCH(D768,RECICLADORES!B:B,0)),"")</f>
        <v/>
      </c>
      <c r="Q768" s="71" t="str">
        <f>IFERROR(INDEX(RECICLADORES!O:O,MATCH(D768,RECICLADORES!B:B,0)),"")</f>
        <v/>
      </c>
      <c r="R768" s="65"/>
      <c r="S768" s="65"/>
      <c r="T768" s="71"/>
      <c r="U768" s="71"/>
      <c r="V768" s="86"/>
    </row>
    <row r="769" spans="1:22" ht="16.5" thickTop="1" thickBot="1" x14ac:dyDescent="0.3">
      <c r="A769" s="34"/>
      <c r="C769" s="13"/>
      <c r="I769" s="23"/>
      <c r="J769" s="29" t="str">
        <f t="shared" si="10"/>
        <v/>
      </c>
      <c r="L769" s="71"/>
      <c r="M769" s="71"/>
      <c r="N769" s="71"/>
      <c r="O769" s="71"/>
      <c r="P769" s="71" t="str">
        <f>IFERROR(INDEX(RECICLADORES!C:C,MATCH(D769,RECICLADORES!B:B,0)),"")</f>
        <v/>
      </c>
      <c r="Q769" s="71" t="str">
        <f>IFERROR(INDEX(RECICLADORES!O:O,MATCH(D769,RECICLADORES!B:B,0)),"")</f>
        <v/>
      </c>
      <c r="R769" s="65"/>
      <c r="S769" s="65"/>
      <c r="T769" s="71"/>
      <c r="U769" s="71"/>
      <c r="V769" s="86"/>
    </row>
    <row r="770" spans="1:22" ht="16.5" thickTop="1" thickBot="1" x14ac:dyDescent="0.3">
      <c r="A770" s="35"/>
      <c r="C770" s="13"/>
      <c r="I770" s="23"/>
      <c r="J770" s="29" t="str">
        <f t="shared" si="10"/>
        <v/>
      </c>
      <c r="L770" s="71"/>
      <c r="M770" s="71"/>
      <c r="N770" s="71"/>
      <c r="O770" s="71"/>
      <c r="P770" s="71" t="str">
        <f>IFERROR(INDEX(RECICLADORES!C:C,MATCH(D770,RECICLADORES!B:B,0)),"")</f>
        <v/>
      </c>
      <c r="Q770" s="71" t="str">
        <f>IFERROR(INDEX(RECICLADORES!O:O,MATCH(D770,RECICLADORES!B:B,0)),"")</f>
        <v/>
      </c>
      <c r="R770" s="65"/>
      <c r="S770" s="65"/>
      <c r="T770" s="71"/>
      <c r="U770" s="71"/>
      <c r="V770" s="86"/>
    </row>
    <row r="771" spans="1:22" ht="16.5" thickTop="1" thickBot="1" x14ac:dyDescent="0.3">
      <c r="A771" s="34"/>
      <c r="C771" s="13"/>
      <c r="I771" s="23"/>
      <c r="J771" s="29" t="str">
        <f t="shared" si="10"/>
        <v/>
      </c>
      <c r="L771" s="71"/>
      <c r="M771" s="71"/>
      <c r="N771" s="71"/>
      <c r="O771" s="71"/>
      <c r="P771" s="71" t="str">
        <f>IFERROR(INDEX(RECICLADORES!C:C,MATCH(D771,RECICLADORES!B:B,0)),"")</f>
        <v/>
      </c>
      <c r="Q771" s="71" t="str">
        <f>IFERROR(INDEX(RECICLADORES!O:O,MATCH(D771,RECICLADORES!B:B,0)),"")</f>
        <v/>
      </c>
      <c r="R771" s="65"/>
      <c r="S771" s="65"/>
      <c r="T771" s="71"/>
      <c r="U771" s="71"/>
      <c r="V771" s="86"/>
    </row>
    <row r="772" spans="1:22" ht="16.5" thickTop="1" thickBot="1" x14ac:dyDescent="0.3">
      <c r="A772" s="35"/>
      <c r="C772" s="13"/>
      <c r="I772" s="23"/>
      <c r="J772" s="29" t="str">
        <f t="shared" si="10"/>
        <v/>
      </c>
      <c r="L772" s="71"/>
      <c r="M772" s="71"/>
      <c r="N772" s="71"/>
      <c r="O772" s="71"/>
      <c r="P772" s="71" t="str">
        <f>IFERROR(INDEX(RECICLADORES!C:C,MATCH(D772,RECICLADORES!B:B,0)),"")</f>
        <v/>
      </c>
      <c r="Q772" s="71" t="str">
        <f>IFERROR(INDEX(RECICLADORES!O:O,MATCH(D772,RECICLADORES!B:B,0)),"")</f>
        <v/>
      </c>
      <c r="R772" s="65"/>
      <c r="S772" s="65"/>
      <c r="T772" s="71"/>
      <c r="U772" s="71"/>
      <c r="V772" s="86"/>
    </row>
    <row r="773" spans="1:22" ht="16.5" thickTop="1" thickBot="1" x14ac:dyDescent="0.3">
      <c r="A773" s="35"/>
      <c r="C773" s="13"/>
      <c r="I773" s="23"/>
      <c r="J773" s="29" t="str">
        <f t="shared" si="10"/>
        <v/>
      </c>
      <c r="L773" s="71"/>
      <c r="M773" s="71"/>
      <c r="N773" s="71"/>
      <c r="O773" s="71"/>
      <c r="P773" s="71" t="str">
        <f>IFERROR(INDEX(RECICLADORES!C:C,MATCH(D773,RECICLADORES!B:B,0)),"")</f>
        <v/>
      </c>
      <c r="Q773" s="71" t="str">
        <f>IFERROR(INDEX(RECICLADORES!O:O,MATCH(D773,RECICLADORES!B:B,0)),"")</f>
        <v/>
      </c>
      <c r="R773" s="65"/>
      <c r="S773" s="65"/>
      <c r="T773" s="71"/>
      <c r="U773" s="71"/>
      <c r="V773" s="86"/>
    </row>
    <row r="774" spans="1:22" ht="16.5" thickTop="1" thickBot="1" x14ac:dyDescent="0.3">
      <c r="A774" s="34"/>
      <c r="C774" s="13"/>
      <c r="I774" s="23"/>
      <c r="J774" s="29" t="str">
        <f t="shared" si="10"/>
        <v/>
      </c>
      <c r="L774" s="71"/>
      <c r="M774" s="71"/>
      <c r="N774" s="71"/>
      <c r="O774" s="71"/>
      <c r="P774" s="71" t="str">
        <f>IFERROR(INDEX(RECICLADORES!C:C,MATCH(D774,RECICLADORES!B:B,0)),"")</f>
        <v/>
      </c>
      <c r="Q774" s="71" t="str">
        <f>IFERROR(INDEX(RECICLADORES!O:O,MATCH(D774,RECICLADORES!B:B,0)),"")</f>
        <v/>
      </c>
      <c r="R774" s="65"/>
      <c r="S774" s="65"/>
      <c r="T774" s="71"/>
      <c r="U774" s="71"/>
      <c r="V774" s="86"/>
    </row>
    <row r="775" spans="1:22" ht="16.5" thickTop="1" thickBot="1" x14ac:dyDescent="0.3">
      <c r="A775" s="35"/>
      <c r="C775" s="13"/>
      <c r="I775" s="23"/>
      <c r="J775" s="29" t="str">
        <f t="shared" si="10"/>
        <v/>
      </c>
      <c r="L775" s="71"/>
      <c r="M775" s="71"/>
      <c r="N775" s="71"/>
      <c r="O775" s="71"/>
      <c r="P775" s="71" t="str">
        <f>IFERROR(INDEX(RECICLADORES!C:C,MATCH(D775,RECICLADORES!B:B,0)),"")</f>
        <v/>
      </c>
      <c r="Q775" s="71" t="str">
        <f>IFERROR(INDEX(RECICLADORES!O:O,MATCH(D775,RECICLADORES!B:B,0)),"")</f>
        <v/>
      </c>
      <c r="R775" s="65"/>
      <c r="S775" s="65"/>
      <c r="T775" s="71"/>
      <c r="U775" s="71"/>
      <c r="V775" s="86"/>
    </row>
    <row r="776" spans="1:22" ht="16.5" thickTop="1" thickBot="1" x14ac:dyDescent="0.3">
      <c r="A776" s="34"/>
      <c r="C776" s="13"/>
      <c r="I776" s="23"/>
      <c r="J776" s="29" t="str">
        <f t="shared" si="10"/>
        <v/>
      </c>
      <c r="L776" s="71"/>
      <c r="M776" s="71"/>
      <c r="N776" s="71"/>
      <c r="O776" s="71"/>
      <c r="P776" s="71" t="str">
        <f>IFERROR(INDEX(RECICLADORES!C:C,MATCH(D776,RECICLADORES!B:B,0)),"")</f>
        <v/>
      </c>
      <c r="Q776" s="71" t="str">
        <f>IFERROR(INDEX(RECICLADORES!O:O,MATCH(D776,RECICLADORES!B:B,0)),"")</f>
        <v/>
      </c>
      <c r="R776" s="65"/>
      <c r="S776" s="65"/>
      <c r="T776" s="71"/>
      <c r="U776" s="71"/>
      <c r="V776" s="86"/>
    </row>
    <row r="777" spans="1:22" ht="16.5" thickTop="1" thickBot="1" x14ac:dyDescent="0.3">
      <c r="A777" s="35"/>
      <c r="C777" s="13"/>
      <c r="I777" s="23"/>
      <c r="J777" s="29" t="str">
        <f t="shared" si="10"/>
        <v/>
      </c>
      <c r="L777" s="71"/>
      <c r="M777" s="71"/>
      <c r="N777" s="71"/>
      <c r="O777" s="71"/>
      <c r="P777" s="71" t="str">
        <f>IFERROR(INDEX(RECICLADORES!C:C,MATCH(D777,RECICLADORES!B:B,0)),"")</f>
        <v/>
      </c>
      <c r="Q777" s="71" t="str">
        <f>IFERROR(INDEX(RECICLADORES!O:O,MATCH(D777,RECICLADORES!B:B,0)),"")</f>
        <v/>
      </c>
      <c r="R777" s="65"/>
      <c r="S777" s="65"/>
      <c r="T777" s="71"/>
      <c r="U777" s="71"/>
      <c r="V777" s="86"/>
    </row>
    <row r="778" spans="1:22" ht="16.5" thickTop="1" thickBot="1" x14ac:dyDescent="0.3">
      <c r="A778" s="34"/>
      <c r="C778" s="13"/>
      <c r="I778" s="23"/>
      <c r="J778" s="29" t="str">
        <f t="shared" si="10"/>
        <v/>
      </c>
      <c r="L778" s="71"/>
      <c r="M778" s="71"/>
      <c r="N778" s="71"/>
      <c r="O778" s="71"/>
      <c r="P778" s="71" t="str">
        <f>IFERROR(INDEX(RECICLADORES!C:C,MATCH(D778,RECICLADORES!B:B,0)),"")</f>
        <v/>
      </c>
      <c r="Q778" s="71" t="str">
        <f>IFERROR(INDEX(RECICLADORES!O:O,MATCH(D778,RECICLADORES!B:B,0)),"")</f>
        <v/>
      </c>
      <c r="R778" s="65"/>
      <c r="S778" s="65"/>
      <c r="T778" s="71"/>
      <c r="U778" s="71"/>
      <c r="V778" s="86"/>
    </row>
    <row r="779" spans="1:22" ht="16.5" thickTop="1" thickBot="1" x14ac:dyDescent="0.3">
      <c r="A779" s="35"/>
      <c r="C779" s="13"/>
      <c r="I779" s="23"/>
      <c r="J779" s="29" t="str">
        <f t="shared" si="10"/>
        <v/>
      </c>
      <c r="L779" s="71"/>
      <c r="M779" s="71"/>
      <c r="N779" s="71"/>
      <c r="O779" s="71"/>
      <c r="P779" s="71" t="str">
        <f>IFERROR(INDEX(RECICLADORES!C:C,MATCH(D779,RECICLADORES!B:B,0)),"")</f>
        <v/>
      </c>
      <c r="Q779" s="71" t="str">
        <f>IFERROR(INDEX(RECICLADORES!O:O,MATCH(D779,RECICLADORES!B:B,0)),"")</f>
        <v/>
      </c>
      <c r="R779" s="65"/>
      <c r="S779" s="65"/>
      <c r="T779" s="71"/>
      <c r="U779" s="71"/>
      <c r="V779" s="86"/>
    </row>
    <row r="780" spans="1:22" ht="16.5" thickTop="1" thickBot="1" x14ac:dyDescent="0.3">
      <c r="A780" s="34"/>
      <c r="C780" s="13"/>
      <c r="I780" s="23"/>
      <c r="J780" s="29" t="str">
        <f t="shared" si="10"/>
        <v/>
      </c>
      <c r="L780" s="71"/>
      <c r="M780" s="71"/>
      <c r="N780" s="71"/>
      <c r="O780" s="71"/>
      <c r="P780" s="71" t="str">
        <f>IFERROR(INDEX(RECICLADORES!C:C,MATCH(D780,RECICLADORES!B:B,0)),"")</f>
        <v/>
      </c>
      <c r="Q780" s="71" t="str">
        <f>IFERROR(INDEX(RECICLADORES!O:O,MATCH(D780,RECICLADORES!B:B,0)),"")</f>
        <v/>
      </c>
      <c r="R780" s="65"/>
      <c r="S780" s="65"/>
      <c r="T780" s="71"/>
      <c r="U780" s="71"/>
      <c r="V780" s="86"/>
    </row>
    <row r="781" spans="1:22" ht="16.5" thickTop="1" thickBot="1" x14ac:dyDescent="0.3">
      <c r="A781" s="35"/>
      <c r="C781" s="13"/>
      <c r="I781" s="23"/>
      <c r="J781" s="29" t="str">
        <f t="shared" si="10"/>
        <v/>
      </c>
      <c r="L781" s="71"/>
      <c r="M781" s="71"/>
      <c r="N781" s="71"/>
      <c r="O781" s="71"/>
      <c r="P781" s="71" t="str">
        <f>IFERROR(INDEX(RECICLADORES!C:C,MATCH(D781,RECICLADORES!B:B,0)),"")</f>
        <v/>
      </c>
      <c r="Q781" s="71" t="str">
        <f>IFERROR(INDEX(RECICLADORES!O:O,MATCH(D781,RECICLADORES!B:B,0)),"")</f>
        <v/>
      </c>
      <c r="R781" s="65"/>
      <c r="S781" s="65"/>
      <c r="T781" s="71"/>
      <c r="U781" s="71"/>
      <c r="V781" s="86"/>
    </row>
    <row r="782" spans="1:22" ht="16.5" thickTop="1" thickBot="1" x14ac:dyDescent="0.3">
      <c r="A782" s="34"/>
      <c r="C782" s="13"/>
      <c r="I782" s="23"/>
      <c r="J782" s="29" t="str">
        <f t="shared" si="10"/>
        <v/>
      </c>
      <c r="L782" s="71"/>
      <c r="M782" s="71"/>
      <c r="N782" s="71"/>
      <c r="O782" s="71"/>
      <c r="P782" s="71" t="str">
        <f>IFERROR(INDEX(RECICLADORES!C:C,MATCH(D782,RECICLADORES!B:B,0)),"")</f>
        <v/>
      </c>
      <c r="Q782" s="71" t="str">
        <f>IFERROR(INDEX(RECICLADORES!O:O,MATCH(D782,RECICLADORES!B:B,0)),"")</f>
        <v/>
      </c>
      <c r="R782" s="65"/>
      <c r="S782" s="65"/>
      <c r="T782" s="71"/>
      <c r="U782" s="71"/>
      <c r="V782" s="86"/>
    </row>
    <row r="783" spans="1:22" ht="16.5" thickTop="1" thickBot="1" x14ac:dyDescent="0.3">
      <c r="A783" s="35"/>
      <c r="C783" s="13"/>
      <c r="I783" s="23"/>
      <c r="J783" s="29" t="str">
        <f t="shared" si="10"/>
        <v/>
      </c>
      <c r="L783" s="71"/>
      <c r="M783" s="71"/>
      <c r="N783" s="71"/>
      <c r="O783" s="71"/>
      <c r="P783" s="71" t="str">
        <f>IFERROR(INDEX(RECICLADORES!C:C,MATCH(D783,RECICLADORES!B:B,0)),"")</f>
        <v/>
      </c>
      <c r="Q783" s="71" t="str">
        <f>IFERROR(INDEX(RECICLADORES!O:O,MATCH(D783,RECICLADORES!B:B,0)),"")</f>
        <v/>
      </c>
      <c r="R783" s="65"/>
      <c r="S783" s="65"/>
      <c r="T783" s="71"/>
      <c r="U783" s="71"/>
      <c r="V783" s="86"/>
    </row>
    <row r="784" spans="1:22" ht="16.5" thickTop="1" thickBot="1" x14ac:dyDescent="0.3">
      <c r="A784" s="34"/>
      <c r="C784" s="13"/>
      <c r="I784" s="23"/>
      <c r="J784" s="29" t="str">
        <f t="shared" si="10"/>
        <v/>
      </c>
      <c r="L784" s="71"/>
      <c r="M784" s="71"/>
      <c r="N784" s="71"/>
      <c r="O784" s="71"/>
      <c r="P784" s="71" t="str">
        <f>IFERROR(INDEX(RECICLADORES!C:C,MATCH(D784,RECICLADORES!B:B,0)),"")</f>
        <v/>
      </c>
      <c r="Q784" s="71" t="str">
        <f>IFERROR(INDEX(RECICLADORES!O:O,MATCH(D784,RECICLADORES!B:B,0)),"")</f>
        <v/>
      </c>
      <c r="R784" s="65"/>
      <c r="S784" s="65"/>
      <c r="T784" s="71"/>
      <c r="U784" s="71"/>
      <c r="V784" s="86"/>
    </row>
    <row r="785" spans="1:22" ht="16.5" thickTop="1" thickBot="1" x14ac:dyDescent="0.3">
      <c r="A785" s="35"/>
      <c r="C785" s="13"/>
      <c r="I785" s="23"/>
      <c r="J785" s="29" t="str">
        <f t="shared" si="10"/>
        <v/>
      </c>
      <c r="L785" s="71"/>
      <c r="M785" s="71"/>
      <c r="N785" s="71"/>
      <c r="O785" s="71"/>
      <c r="P785" s="71" t="str">
        <f>IFERROR(INDEX(RECICLADORES!C:C,MATCH(D785,RECICLADORES!B:B,0)),"")</f>
        <v/>
      </c>
      <c r="Q785" s="71" t="str">
        <f>IFERROR(INDEX(RECICLADORES!O:O,MATCH(D785,RECICLADORES!B:B,0)),"")</f>
        <v/>
      </c>
      <c r="R785" s="65"/>
      <c r="S785" s="65"/>
      <c r="T785" s="71"/>
      <c r="U785" s="71"/>
      <c r="V785" s="86"/>
    </row>
    <row r="786" spans="1:22" ht="16.5" thickTop="1" thickBot="1" x14ac:dyDescent="0.3">
      <c r="A786" s="34"/>
      <c r="C786" s="13"/>
      <c r="I786" s="23"/>
      <c r="J786" s="29" t="str">
        <f t="shared" si="10"/>
        <v/>
      </c>
      <c r="L786" s="71"/>
      <c r="M786" s="71"/>
      <c r="N786" s="71"/>
      <c r="O786" s="71"/>
      <c r="P786" s="71" t="str">
        <f>IFERROR(INDEX(RECICLADORES!C:C,MATCH(D786,RECICLADORES!B:B,0)),"")</f>
        <v/>
      </c>
      <c r="Q786" s="71" t="str">
        <f>IFERROR(INDEX(RECICLADORES!O:O,MATCH(D786,RECICLADORES!B:B,0)),"")</f>
        <v/>
      </c>
      <c r="R786" s="65"/>
      <c r="S786" s="65"/>
      <c r="T786" s="71"/>
      <c r="U786" s="71"/>
      <c r="V786" s="86"/>
    </row>
    <row r="787" spans="1:22" ht="16.5" thickTop="1" thickBot="1" x14ac:dyDescent="0.3">
      <c r="A787" s="35"/>
      <c r="C787" s="13"/>
      <c r="I787" s="23"/>
      <c r="J787" s="29" t="str">
        <f t="shared" si="10"/>
        <v/>
      </c>
      <c r="L787" s="71"/>
      <c r="M787" s="71"/>
      <c r="N787" s="71"/>
      <c r="O787" s="71"/>
      <c r="P787" s="71" t="str">
        <f>IFERROR(INDEX(RECICLADORES!C:C,MATCH(D787,RECICLADORES!B:B,0)),"")</f>
        <v/>
      </c>
      <c r="Q787" s="71" t="str">
        <f>IFERROR(INDEX(RECICLADORES!O:O,MATCH(D787,RECICLADORES!B:B,0)),"")</f>
        <v/>
      </c>
      <c r="R787" s="65"/>
      <c r="S787" s="65"/>
      <c r="T787" s="71"/>
      <c r="U787" s="71"/>
      <c r="V787" s="86"/>
    </row>
    <row r="788" spans="1:22" ht="16.5" thickTop="1" thickBot="1" x14ac:dyDescent="0.3">
      <c r="A788" s="34"/>
      <c r="C788" s="13"/>
      <c r="I788" s="23"/>
      <c r="J788" s="29" t="str">
        <f t="shared" si="10"/>
        <v/>
      </c>
      <c r="L788" s="71"/>
      <c r="M788" s="71"/>
      <c r="N788" s="71"/>
      <c r="O788" s="71"/>
      <c r="P788" s="71" t="str">
        <f>IFERROR(INDEX(RECICLADORES!C:C,MATCH(D788,RECICLADORES!B:B,0)),"")</f>
        <v/>
      </c>
      <c r="Q788" s="71" t="str">
        <f>IFERROR(INDEX(RECICLADORES!O:O,MATCH(D788,RECICLADORES!B:B,0)),"")</f>
        <v/>
      </c>
      <c r="R788" s="65"/>
      <c r="S788" s="65"/>
      <c r="T788" s="71"/>
      <c r="U788" s="71"/>
      <c r="V788" s="86"/>
    </row>
    <row r="789" spans="1:22" ht="16.5" thickTop="1" thickBot="1" x14ac:dyDescent="0.3">
      <c r="A789" s="35"/>
      <c r="C789" s="13"/>
      <c r="I789" s="23"/>
      <c r="J789" s="29" t="str">
        <f t="shared" si="10"/>
        <v/>
      </c>
      <c r="L789" s="71"/>
      <c r="M789" s="71"/>
      <c r="N789" s="71"/>
      <c r="O789" s="71"/>
      <c r="P789" s="71" t="str">
        <f>IFERROR(INDEX(RECICLADORES!C:C,MATCH(D789,RECICLADORES!B:B,0)),"")</f>
        <v/>
      </c>
      <c r="Q789" s="71" t="str">
        <f>IFERROR(INDEX(RECICLADORES!O:O,MATCH(D789,RECICLADORES!B:B,0)),"")</f>
        <v/>
      </c>
      <c r="R789" s="65"/>
      <c r="S789" s="65"/>
      <c r="T789" s="71"/>
      <c r="U789" s="71"/>
      <c r="V789" s="86"/>
    </row>
    <row r="790" spans="1:22" ht="16.5" thickTop="1" thickBot="1" x14ac:dyDescent="0.3">
      <c r="A790" s="34"/>
      <c r="C790" s="13"/>
      <c r="I790" s="23"/>
      <c r="J790" s="29" t="str">
        <f t="shared" si="10"/>
        <v/>
      </c>
      <c r="L790" s="71"/>
      <c r="M790" s="71"/>
      <c r="N790" s="71"/>
      <c r="O790" s="71"/>
      <c r="P790" s="71" t="str">
        <f>IFERROR(INDEX(RECICLADORES!C:C,MATCH(D790,RECICLADORES!B:B,0)),"")</f>
        <v/>
      </c>
      <c r="Q790" s="71" t="str">
        <f>IFERROR(INDEX(RECICLADORES!O:O,MATCH(D790,RECICLADORES!B:B,0)),"")</f>
        <v/>
      </c>
      <c r="R790" s="65"/>
      <c r="S790" s="65"/>
      <c r="T790" s="71"/>
      <c r="U790" s="71"/>
      <c r="V790" s="86"/>
    </row>
    <row r="791" spans="1:22" ht="16.5" thickTop="1" thickBot="1" x14ac:dyDescent="0.3">
      <c r="A791" s="35"/>
      <c r="C791" s="13"/>
      <c r="I791" s="23"/>
      <c r="J791" s="29" t="str">
        <f t="shared" si="10"/>
        <v/>
      </c>
      <c r="L791" s="71"/>
      <c r="M791" s="71"/>
      <c r="N791" s="71"/>
      <c r="O791" s="71"/>
      <c r="P791" s="71" t="str">
        <f>IFERROR(INDEX(RECICLADORES!C:C,MATCH(D791,RECICLADORES!B:B,0)),"")</f>
        <v/>
      </c>
      <c r="Q791" s="71" t="str">
        <f>IFERROR(INDEX(RECICLADORES!O:O,MATCH(D791,RECICLADORES!B:B,0)),"")</f>
        <v/>
      </c>
      <c r="R791" s="65"/>
      <c r="S791" s="65"/>
      <c r="T791" s="71"/>
      <c r="U791" s="71"/>
      <c r="V791" s="86"/>
    </row>
    <row r="792" spans="1:22" ht="16.5" thickTop="1" thickBot="1" x14ac:dyDescent="0.3">
      <c r="A792" s="34"/>
      <c r="C792" s="13"/>
      <c r="I792" s="23"/>
      <c r="J792" s="29" t="str">
        <f t="shared" si="10"/>
        <v/>
      </c>
      <c r="L792" s="71"/>
      <c r="M792" s="71"/>
      <c r="N792" s="71"/>
      <c r="O792" s="71"/>
      <c r="P792" s="71" t="str">
        <f>IFERROR(INDEX(RECICLADORES!C:C,MATCH(D792,RECICLADORES!B:B,0)),"")</f>
        <v/>
      </c>
      <c r="Q792" s="71" t="str">
        <f>IFERROR(INDEX(RECICLADORES!O:O,MATCH(D792,RECICLADORES!B:B,0)),"")</f>
        <v/>
      </c>
      <c r="R792" s="65"/>
      <c r="S792" s="65"/>
      <c r="T792" s="71"/>
      <c r="U792" s="71"/>
      <c r="V792" s="86"/>
    </row>
    <row r="793" spans="1:22" ht="16.5" thickTop="1" thickBot="1" x14ac:dyDescent="0.3">
      <c r="A793" s="35"/>
      <c r="C793" s="13"/>
      <c r="I793" s="23"/>
      <c r="J793" s="29" t="str">
        <f t="shared" si="10"/>
        <v/>
      </c>
      <c r="L793" s="71"/>
      <c r="M793" s="71"/>
      <c r="N793" s="71"/>
      <c r="O793" s="71"/>
      <c r="P793" s="71" t="str">
        <f>IFERROR(INDEX(RECICLADORES!C:C,MATCH(D793,RECICLADORES!B:B,0)),"")</f>
        <v/>
      </c>
      <c r="Q793" s="71" t="str">
        <f>IFERROR(INDEX(RECICLADORES!O:O,MATCH(D793,RECICLADORES!B:B,0)),"")</f>
        <v/>
      </c>
      <c r="R793" s="65"/>
      <c r="S793" s="65"/>
      <c r="T793" s="71"/>
      <c r="U793" s="71"/>
      <c r="V793" s="86"/>
    </row>
    <row r="794" spans="1:22" ht="16.5" thickTop="1" thickBot="1" x14ac:dyDescent="0.3">
      <c r="A794" s="34"/>
      <c r="C794" s="13"/>
      <c r="I794" s="23"/>
      <c r="J794" s="29" t="str">
        <f t="shared" si="10"/>
        <v/>
      </c>
      <c r="L794" s="71"/>
      <c r="M794" s="71"/>
      <c r="N794" s="71"/>
      <c r="O794" s="71"/>
      <c r="P794" s="71" t="str">
        <f>IFERROR(INDEX(RECICLADORES!C:C,MATCH(D794,RECICLADORES!B:B,0)),"")</f>
        <v/>
      </c>
      <c r="Q794" s="71" t="str">
        <f>IFERROR(INDEX(RECICLADORES!O:O,MATCH(D794,RECICLADORES!B:B,0)),"")</f>
        <v/>
      </c>
      <c r="R794" s="65"/>
      <c r="S794" s="65"/>
      <c r="T794" s="71"/>
      <c r="U794" s="71"/>
      <c r="V794" s="86"/>
    </row>
    <row r="795" spans="1:22" ht="16.5" thickTop="1" thickBot="1" x14ac:dyDescent="0.3">
      <c r="A795" s="35"/>
      <c r="C795" s="13"/>
      <c r="I795" s="23"/>
      <c r="J795" s="29" t="str">
        <f t="shared" si="10"/>
        <v/>
      </c>
      <c r="L795" s="71"/>
      <c r="M795" s="71"/>
      <c r="N795" s="71"/>
      <c r="O795" s="71"/>
      <c r="P795" s="71" t="str">
        <f>IFERROR(INDEX(RECICLADORES!C:C,MATCH(D795,RECICLADORES!B:B,0)),"")</f>
        <v/>
      </c>
      <c r="Q795" s="71" t="str">
        <f>IFERROR(INDEX(RECICLADORES!O:O,MATCH(D795,RECICLADORES!B:B,0)),"")</f>
        <v/>
      </c>
      <c r="R795" s="65"/>
      <c r="S795" s="65"/>
      <c r="T795" s="71"/>
      <c r="U795" s="71"/>
      <c r="V795" s="86"/>
    </row>
    <row r="796" spans="1:22" ht="16.5" thickTop="1" thickBot="1" x14ac:dyDescent="0.3">
      <c r="A796" s="34"/>
      <c r="C796" s="13"/>
      <c r="I796" s="23"/>
      <c r="J796" s="29" t="str">
        <f t="shared" si="10"/>
        <v/>
      </c>
      <c r="L796" s="71"/>
      <c r="M796" s="71"/>
      <c r="N796" s="71"/>
      <c r="O796" s="71"/>
      <c r="P796" s="71" t="str">
        <f>IFERROR(INDEX(RECICLADORES!C:C,MATCH(D796,RECICLADORES!B:B,0)),"")</f>
        <v/>
      </c>
      <c r="Q796" s="71" t="str">
        <f>IFERROR(INDEX(RECICLADORES!O:O,MATCH(D796,RECICLADORES!B:B,0)),"")</f>
        <v/>
      </c>
      <c r="R796" s="65"/>
      <c r="S796" s="65"/>
      <c r="T796" s="71"/>
      <c r="U796" s="71"/>
      <c r="V796" s="86"/>
    </row>
    <row r="797" spans="1:22" ht="16.5" thickTop="1" thickBot="1" x14ac:dyDescent="0.3">
      <c r="A797" s="35"/>
      <c r="C797" s="13"/>
      <c r="I797" s="23"/>
      <c r="J797" s="29" t="str">
        <f t="shared" si="10"/>
        <v/>
      </c>
      <c r="L797" s="71"/>
      <c r="M797" s="71"/>
      <c r="N797" s="71"/>
      <c r="O797" s="71"/>
      <c r="P797" s="71" t="str">
        <f>IFERROR(INDEX(RECICLADORES!C:C,MATCH(D797,RECICLADORES!B:B,0)),"")</f>
        <v/>
      </c>
      <c r="Q797" s="71" t="str">
        <f>IFERROR(INDEX(RECICLADORES!O:O,MATCH(D797,RECICLADORES!B:B,0)),"")</f>
        <v/>
      </c>
      <c r="R797" s="65"/>
      <c r="S797" s="65"/>
      <c r="T797" s="71"/>
      <c r="U797" s="71"/>
      <c r="V797" s="86"/>
    </row>
    <row r="798" spans="1:22" ht="16.5" thickTop="1" thickBot="1" x14ac:dyDescent="0.3">
      <c r="A798" s="34"/>
      <c r="C798" s="13"/>
      <c r="I798" s="23"/>
      <c r="J798" s="29" t="str">
        <f t="shared" si="10"/>
        <v/>
      </c>
      <c r="L798" s="71"/>
      <c r="M798" s="71"/>
      <c r="N798" s="71"/>
      <c r="O798" s="71"/>
      <c r="P798" s="71" t="str">
        <f>IFERROR(INDEX(RECICLADORES!C:C,MATCH(D798,RECICLADORES!B:B,0)),"")</f>
        <v/>
      </c>
      <c r="Q798" s="71" t="str">
        <f>IFERROR(INDEX(RECICLADORES!O:O,MATCH(D798,RECICLADORES!B:B,0)),"")</f>
        <v/>
      </c>
      <c r="R798" s="65"/>
      <c r="S798" s="65"/>
      <c r="T798" s="71"/>
      <c r="U798" s="71"/>
      <c r="V798" s="86"/>
    </row>
    <row r="799" spans="1:22" ht="16.5" thickTop="1" thickBot="1" x14ac:dyDescent="0.3">
      <c r="A799" s="35"/>
      <c r="C799" s="13"/>
      <c r="I799" s="23"/>
      <c r="J799" s="29" t="str">
        <f t="shared" si="10"/>
        <v/>
      </c>
      <c r="L799" s="71"/>
      <c r="M799" s="71"/>
      <c r="N799" s="71"/>
      <c r="O799" s="71"/>
      <c r="P799" s="71" t="str">
        <f>IFERROR(INDEX(RECICLADORES!C:C,MATCH(D799,RECICLADORES!B:B,0)),"")</f>
        <v/>
      </c>
      <c r="Q799" s="71" t="str">
        <f>IFERROR(INDEX(RECICLADORES!O:O,MATCH(D799,RECICLADORES!B:B,0)),"")</f>
        <v/>
      </c>
      <c r="R799" s="65"/>
      <c r="S799" s="65"/>
      <c r="T799" s="71"/>
      <c r="U799" s="71"/>
      <c r="V799" s="86"/>
    </row>
    <row r="800" spans="1:22" ht="16.5" thickTop="1" thickBot="1" x14ac:dyDescent="0.3">
      <c r="A800" s="34"/>
      <c r="C800" s="13"/>
      <c r="I800" s="23"/>
      <c r="J800" s="29" t="str">
        <f t="shared" si="10"/>
        <v/>
      </c>
      <c r="L800" s="71"/>
      <c r="M800" s="71"/>
      <c r="N800" s="71"/>
      <c r="O800" s="71"/>
      <c r="P800" s="71" t="str">
        <f>IFERROR(INDEX(RECICLADORES!C:C,MATCH(D800,RECICLADORES!B:B,0)),"")</f>
        <v/>
      </c>
      <c r="Q800" s="71" t="str">
        <f>IFERROR(INDEX(RECICLADORES!O:O,MATCH(D800,RECICLADORES!B:B,0)),"")</f>
        <v/>
      </c>
      <c r="R800" s="65"/>
      <c r="S800" s="65"/>
      <c r="T800" s="71"/>
      <c r="U800" s="71"/>
      <c r="V800" s="86"/>
    </row>
    <row r="801" spans="1:22" ht="16.5" thickTop="1" thickBot="1" x14ac:dyDescent="0.3">
      <c r="A801" s="35"/>
      <c r="C801" s="13"/>
      <c r="I801" s="23"/>
      <c r="J801" s="29" t="str">
        <f t="shared" si="10"/>
        <v/>
      </c>
      <c r="L801" s="71"/>
      <c r="M801" s="71"/>
      <c r="N801" s="71"/>
      <c r="O801" s="71"/>
      <c r="P801" s="71" t="str">
        <f>IFERROR(INDEX(RECICLADORES!C:C,MATCH(D801,RECICLADORES!B:B,0)),"")</f>
        <v/>
      </c>
      <c r="Q801" s="71" t="str">
        <f>IFERROR(INDEX(RECICLADORES!O:O,MATCH(D801,RECICLADORES!B:B,0)),"")</f>
        <v/>
      </c>
      <c r="R801" s="65"/>
      <c r="S801" s="65"/>
      <c r="T801" s="71"/>
      <c r="U801" s="71"/>
      <c r="V801" s="86"/>
    </row>
    <row r="802" spans="1:22" ht="16.5" thickTop="1" thickBot="1" x14ac:dyDescent="0.3">
      <c r="A802" s="35"/>
      <c r="C802" s="13"/>
      <c r="I802" s="23"/>
      <c r="J802" s="29" t="str">
        <f t="shared" si="10"/>
        <v/>
      </c>
      <c r="L802" s="71"/>
      <c r="M802" s="71"/>
      <c r="N802" s="71"/>
      <c r="O802" s="71"/>
      <c r="P802" s="71" t="str">
        <f>IFERROR(INDEX(RECICLADORES!C:C,MATCH(D802,RECICLADORES!B:B,0)),"")</f>
        <v/>
      </c>
      <c r="Q802" s="71" t="str">
        <f>IFERROR(INDEX(RECICLADORES!O:O,MATCH(D802,RECICLADORES!B:B,0)),"")</f>
        <v/>
      </c>
      <c r="R802" s="65"/>
      <c r="S802" s="65"/>
      <c r="T802" s="71"/>
      <c r="U802" s="71"/>
      <c r="V802" s="86"/>
    </row>
    <row r="803" spans="1:22" ht="16.5" thickTop="1" thickBot="1" x14ac:dyDescent="0.3">
      <c r="A803" s="34"/>
      <c r="C803" s="13"/>
      <c r="I803" s="23"/>
      <c r="J803" s="29" t="str">
        <f t="shared" si="10"/>
        <v/>
      </c>
      <c r="L803" s="71"/>
      <c r="M803" s="71"/>
      <c r="N803" s="71"/>
      <c r="O803" s="71"/>
      <c r="P803" s="71" t="str">
        <f>IFERROR(INDEX(RECICLADORES!C:C,MATCH(D803,RECICLADORES!B:B,0)),"")</f>
        <v/>
      </c>
      <c r="Q803" s="71" t="str">
        <f>IFERROR(INDEX(RECICLADORES!O:O,MATCH(D803,RECICLADORES!B:B,0)),"")</f>
        <v/>
      </c>
      <c r="R803" s="65"/>
      <c r="S803" s="65"/>
      <c r="T803" s="71"/>
      <c r="U803" s="71"/>
      <c r="V803" s="86"/>
    </row>
    <row r="804" spans="1:22" ht="16.5" thickTop="1" thickBot="1" x14ac:dyDescent="0.3">
      <c r="A804" s="35"/>
      <c r="C804" s="13"/>
      <c r="I804" s="23"/>
      <c r="J804" s="29" t="str">
        <f t="shared" si="10"/>
        <v/>
      </c>
      <c r="L804" s="71"/>
      <c r="M804" s="71"/>
      <c r="N804" s="71"/>
      <c r="O804" s="71"/>
      <c r="P804" s="71" t="str">
        <f>IFERROR(INDEX(RECICLADORES!C:C,MATCH(D804,RECICLADORES!B:B,0)),"")</f>
        <v/>
      </c>
      <c r="Q804" s="71" t="str">
        <f>IFERROR(INDEX(RECICLADORES!O:O,MATCH(D804,RECICLADORES!B:B,0)),"")</f>
        <v/>
      </c>
      <c r="R804" s="65"/>
      <c r="S804" s="65"/>
      <c r="T804" s="71"/>
      <c r="U804" s="71"/>
      <c r="V804" s="86"/>
    </row>
    <row r="805" spans="1:22" ht="16.5" thickTop="1" thickBot="1" x14ac:dyDescent="0.3">
      <c r="A805" s="34"/>
      <c r="C805" s="13"/>
      <c r="I805" s="23"/>
      <c r="J805" s="29" t="str">
        <f t="shared" si="10"/>
        <v/>
      </c>
      <c r="L805" s="71"/>
      <c r="M805" s="71"/>
      <c r="N805" s="71"/>
      <c r="O805" s="71"/>
      <c r="P805" s="71" t="str">
        <f>IFERROR(INDEX(RECICLADORES!C:C,MATCH(D805,RECICLADORES!B:B,0)),"")</f>
        <v/>
      </c>
      <c r="Q805" s="71" t="str">
        <f>IFERROR(INDEX(RECICLADORES!O:O,MATCH(D805,RECICLADORES!B:B,0)),"")</f>
        <v/>
      </c>
      <c r="R805" s="65"/>
      <c r="S805" s="65"/>
      <c r="T805" s="71"/>
      <c r="U805" s="71"/>
      <c r="V805" s="86"/>
    </row>
    <row r="806" spans="1:22" ht="16.5" thickTop="1" thickBot="1" x14ac:dyDescent="0.3">
      <c r="A806" s="35"/>
      <c r="C806" s="13"/>
      <c r="I806" s="23"/>
      <c r="J806" s="29" t="str">
        <f t="shared" si="10"/>
        <v/>
      </c>
      <c r="L806" s="71"/>
      <c r="M806" s="71"/>
      <c r="N806" s="71"/>
      <c r="O806" s="71"/>
      <c r="P806" s="71" t="str">
        <f>IFERROR(INDEX(RECICLADORES!C:C,MATCH(D806,RECICLADORES!B:B,0)),"")</f>
        <v/>
      </c>
      <c r="Q806" s="71" t="str">
        <f>IFERROR(INDEX(RECICLADORES!O:O,MATCH(D806,RECICLADORES!B:B,0)),"")</f>
        <v/>
      </c>
      <c r="R806" s="65"/>
      <c r="S806" s="65"/>
      <c r="T806" s="71"/>
      <c r="U806" s="71"/>
      <c r="V806" s="86"/>
    </row>
    <row r="807" spans="1:22" ht="16.5" thickTop="1" thickBot="1" x14ac:dyDescent="0.3">
      <c r="A807" s="34"/>
      <c r="C807" s="13"/>
      <c r="I807" s="23"/>
      <c r="J807" s="29" t="str">
        <f t="shared" si="10"/>
        <v/>
      </c>
      <c r="L807" s="71"/>
      <c r="M807" s="71"/>
      <c r="N807" s="71"/>
      <c r="O807" s="71"/>
      <c r="P807" s="71" t="str">
        <f>IFERROR(INDEX(RECICLADORES!C:C,MATCH(D807,RECICLADORES!B:B,0)),"")</f>
        <v/>
      </c>
      <c r="Q807" s="71" t="str">
        <f>IFERROR(INDEX(RECICLADORES!O:O,MATCH(D807,RECICLADORES!B:B,0)),"")</f>
        <v/>
      </c>
      <c r="R807" s="65"/>
      <c r="S807" s="65"/>
      <c r="T807" s="71"/>
      <c r="U807" s="71"/>
      <c r="V807" s="86"/>
    </row>
    <row r="808" spans="1:22" ht="16.5" thickTop="1" thickBot="1" x14ac:dyDescent="0.3">
      <c r="A808" s="35"/>
      <c r="C808" s="13"/>
      <c r="I808" s="23"/>
      <c r="J808" s="29" t="str">
        <f t="shared" si="10"/>
        <v/>
      </c>
      <c r="L808" s="71"/>
      <c r="M808" s="71"/>
      <c r="N808" s="71"/>
      <c r="O808" s="71"/>
      <c r="P808" s="71" t="str">
        <f>IFERROR(INDEX(RECICLADORES!C:C,MATCH(D808,RECICLADORES!B:B,0)),"")</f>
        <v/>
      </c>
      <c r="Q808" s="71" t="str">
        <f>IFERROR(INDEX(RECICLADORES!O:O,MATCH(D808,RECICLADORES!B:B,0)),"")</f>
        <v/>
      </c>
      <c r="R808" s="65"/>
      <c r="S808" s="65"/>
      <c r="T808" s="71"/>
      <c r="U808" s="71"/>
      <c r="V808" s="86"/>
    </row>
    <row r="809" spans="1:22" ht="16.5" thickTop="1" thickBot="1" x14ac:dyDescent="0.3">
      <c r="A809" s="34"/>
      <c r="C809" s="13"/>
      <c r="I809" s="23"/>
      <c r="J809" s="29" t="str">
        <f t="shared" si="10"/>
        <v/>
      </c>
      <c r="L809" s="71"/>
      <c r="M809" s="71"/>
      <c r="N809" s="71"/>
      <c r="O809" s="71"/>
      <c r="P809" s="71" t="str">
        <f>IFERROR(INDEX(RECICLADORES!C:C,MATCH(D809,RECICLADORES!B:B,0)),"")</f>
        <v/>
      </c>
      <c r="Q809" s="71" t="str">
        <f>IFERROR(INDEX(RECICLADORES!O:O,MATCH(D809,RECICLADORES!B:B,0)),"")</f>
        <v/>
      </c>
      <c r="R809" s="65"/>
      <c r="S809" s="65"/>
      <c r="T809" s="71"/>
      <c r="U809" s="71"/>
      <c r="V809" s="86"/>
    </row>
    <row r="810" spans="1:22" ht="16.5" thickTop="1" thickBot="1" x14ac:dyDescent="0.3">
      <c r="A810" s="35"/>
      <c r="C810" s="13"/>
      <c r="I810" s="23"/>
      <c r="J810" s="29" t="str">
        <f t="shared" si="10"/>
        <v/>
      </c>
      <c r="L810" s="71"/>
      <c r="M810" s="71"/>
      <c r="N810" s="71"/>
      <c r="O810" s="71"/>
      <c r="P810" s="71" t="str">
        <f>IFERROR(INDEX(RECICLADORES!C:C,MATCH(D810,RECICLADORES!B:B,0)),"")</f>
        <v/>
      </c>
      <c r="Q810" s="71" t="str">
        <f>IFERROR(INDEX(RECICLADORES!O:O,MATCH(D810,RECICLADORES!B:B,0)),"")</f>
        <v/>
      </c>
      <c r="R810" s="65"/>
      <c r="S810" s="65"/>
      <c r="T810" s="71"/>
      <c r="U810" s="71"/>
      <c r="V810" s="86"/>
    </row>
    <row r="811" spans="1:22" ht="16.5" thickTop="1" thickBot="1" x14ac:dyDescent="0.3">
      <c r="A811" s="34"/>
      <c r="C811" s="13"/>
      <c r="I811" s="23"/>
      <c r="J811" s="29" t="str">
        <f t="shared" ref="J811:J874" si="11">IF(C811="","",INT((DAY(C811)-1)/7)+1)</f>
        <v/>
      </c>
      <c r="L811" s="71"/>
      <c r="M811" s="71"/>
      <c r="N811" s="71"/>
      <c r="O811" s="71"/>
      <c r="P811" s="71" t="str">
        <f>IFERROR(INDEX(RECICLADORES!C:C,MATCH(D811,RECICLADORES!B:B,0)),"")</f>
        <v/>
      </c>
      <c r="Q811" s="71" t="str">
        <f>IFERROR(INDEX(RECICLADORES!O:O,MATCH(D811,RECICLADORES!B:B,0)),"")</f>
        <v/>
      </c>
      <c r="R811" s="65"/>
      <c r="S811" s="65"/>
      <c r="T811" s="71"/>
      <c r="U811" s="71"/>
      <c r="V811" s="86"/>
    </row>
    <row r="812" spans="1:22" ht="16.5" thickTop="1" thickBot="1" x14ac:dyDescent="0.3">
      <c r="A812" s="35"/>
      <c r="C812" s="13"/>
      <c r="I812" s="23"/>
      <c r="J812" s="29" t="str">
        <f t="shared" si="11"/>
        <v/>
      </c>
      <c r="L812" s="71"/>
      <c r="M812" s="71"/>
      <c r="N812" s="71"/>
      <c r="O812" s="71"/>
      <c r="P812" s="71" t="str">
        <f>IFERROR(INDEX(RECICLADORES!C:C,MATCH(D812,RECICLADORES!B:B,0)),"")</f>
        <v/>
      </c>
      <c r="Q812" s="71" t="str">
        <f>IFERROR(INDEX(RECICLADORES!O:O,MATCH(D812,RECICLADORES!B:B,0)),"")</f>
        <v/>
      </c>
      <c r="R812" s="65"/>
      <c r="S812" s="65"/>
      <c r="T812" s="71"/>
      <c r="U812" s="71"/>
      <c r="V812" s="86"/>
    </row>
    <row r="813" spans="1:22" ht="16.5" thickTop="1" thickBot="1" x14ac:dyDescent="0.3">
      <c r="A813" s="34"/>
      <c r="C813" s="13"/>
      <c r="I813" s="23"/>
      <c r="J813" s="29" t="str">
        <f t="shared" si="11"/>
        <v/>
      </c>
      <c r="L813" s="71"/>
      <c r="M813" s="71"/>
      <c r="N813" s="71"/>
      <c r="O813" s="71"/>
      <c r="P813" s="71" t="str">
        <f>IFERROR(INDEX(RECICLADORES!C:C,MATCH(D813,RECICLADORES!B:B,0)),"")</f>
        <v/>
      </c>
      <c r="Q813" s="71" t="str">
        <f>IFERROR(INDEX(RECICLADORES!O:O,MATCH(D813,RECICLADORES!B:B,0)),"")</f>
        <v/>
      </c>
      <c r="R813" s="65"/>
      <c r="S813" s="65"/>
      <c r="T813" s="71"/>
      <c r="U813" s="71"/>
      <c r="V813" s="86"/>
    </row>
    <row r="814" spans="1:22" ht="16.5" thickTop="1" thickBot="1" x14ac:dyDescent="0.3">
      <c r="A814" s="35"/>
      <c r="C814" s="13"/>
      <c r="I814" s="23"/>
      <c r="J814" s="29" t="str">
        <f t="shared" si="11"/>
        <v/>
      </c>
      <c r="L814" s="71"/>
      <c r="M814" s="71"/>
      <c r="N814" s="71"/>
      <c r="O814" s="71"/>
      <c r="P814" s="71" t="str">
        <f>IFERROR(INDEX(RECICLADORES!C:C,MATCH(D814,RECICLADORES!B:B,0)),"")</f>
        <v/>
      </c>
      <c r="Q814" s="71" t="str">
        <f>IFERROR(INDEX(RECICLADORES!O:O,MATCH(D814,RECICLADORES!B:B,0)),"")</f>
        <v/>
      </c>
      <c r="R814" s="65"/>
      <c r="S814" s="65"/>
      <c r="T814" s="71"/>
      <c r="U814" s="71"/>
      <c r="V814" s="86"/>
    </row>
    <row r="815" spans="1:22" ht="16.5" thickTop="1" thickBot="1" x14ac:dyDescent="0.3">
      <c r="A815" s="34"/>
      <c r="C815" s="13"/>
      <c r="I815" s="23"/>
      <c r="J815" s="29" t="str">
        <f t="shared" si="11"/>
        <v/>
      </c>
      <c r="L815" s="71"/>
      <c r="M815" s="71"/>
      <c r="N815" s="71"/>
      <c r="O815" s="71"/>
      <c r="P815" s="71" t="str">
        <f>IFERROR(INDEX(RECICLADORES!C:C,MATCH(D815,RECICLADORES!B:B,0)),"")</f>
        <v/>
      </c>
      <c r="Q815" s="71" t="str">
        <f>IFERROR(INDEX(RECICLADORES!O:O,MATCH(D815,RECICLADORES!B:B,0)),"")</f>
        <v/>
      </c>
      <c r="R815" s="65"/>
      <c r="S815" s="65"/>
      <c r="T815" s="71"/>
      <c r="U815" s="71"/>
      <c r="V815" s="86"/>
    </row>
    <row r="816" spans="1:22" ht="16.5" thickTop="1" thickBot="1" x14ac:dyDescent="0.3">
      <c r="A816" s="35"/>
      <c r="C816" s="13"/>
      <c r="I816" s="23"/>
      <c r="J816" s="29" t="str">
        <f t="shared" si="11"/>
        <v/>
      </c>
      <c r="L816" s="71"/>
      <c r="M816" s="71"/>
      <c r="N816" s="71"/>
      <c r="O816" s="71"/>
      <c r="P816" s="71" t="str">
        <f>IFERROR(INDEX(RECICLADORES!C:C,MATCH(D816,RECICLADORES!B:B,0)),"")</f>
        <v/>
      </c>
      <c r="Q816" s="71" t="str">
        <f>IFERROR(INDEX(RECICLADORES!O:O,MATCH(D816,RECICLADORES!B:B,0)),"")</f>
        <v/>
      </c>
      <c r="R816" s="65"/>
      <c r="S816" s="65"/>
      <c r="T816" s="71"/>
      <c r="U816" s="71"/>
      <c r="V816" s="86"/>
    </row>
    <row r="817" spans="1:22" ht="16.5" thickTop="1" thickBot="1" x14ac:dyDescent="0.3">
      <c r="A817" s="34"/>
      <c r="C817" s="13"/>
      <c r="I817" s="23"/>
      <c r="J817" s="29" t="str">
        <f t="shared" si="11"/>
        <v/>
      </c>
      <c r="L817" s="71"/>
      <c r="M817" s="71"/>
      <c r="N817" s="71"/>
      <c r="O817" s="71"/>
      <c r="P817" s="71" t="str">
        <f>IFERROR(INDEX(RECICLADORES!C:C,MATCH(D817,RECICLADORES!B:B,0)),"")</f>
        <v/>
      </c>
      <c r="Q817" s="71" t="str">
        <f>IFERROR(INDEX(RECICLADORES!O:O,MATCH(D817,RECICLADORES!B:B,0)),"")</f>
        <v/>
      </c>
      <c r="R817" s="65"/>
      <c r="S817" s="65"/>
      <c r="T817" s="71"/>
      <c r="U817" s="71"/>
      <c r="V817" s="86"/>
    </row>
    <row r="818" spans="1:22" ht="16.5" thickTop="1" thickBot="1" x14ac:dyDescent="0.3">
      <c r="A818" s="35"/>
      <c r="C818" s="13"/>
      <c r="I818" s="23"/>
      <c r="J818" s="29" t="str">
        <f t="shared" si="11"/>
        <v/>
      </c>
      <c r="L818" s="71"/>
      <c r="M818" s="71"/>
      <c r="N818" s="71"/>
      <c r="O818" s="71"/>
      <c r="P818" s="71" t="str">
        <f>IFERROR(INDEX(RECICLADORES!C:C,MATCH(D818,RECICLADORES!B:B,0)),"")</f>
        <v/>
      </c>
      <c r="Q818" s="71" t="str">
        <f>IFERROR(INDEX(RECICLADORES!O:O,MATCH(D818,RECICLADORES!B:B,0)),"")</f>
        <v/>
      </c>
      <c r="R818" s="65"/>
      <c r="S818" s="65"/>
      <c r="T818" s="71"/>
      <c r="U818" s="71"/>
      <c r="V818" s="86"/>
    </row>
    <row r="819" spans="1:22" ht="16.5" thickTop="1" thickBot="1" x14ac:dyDescent="0.3">
      <c r="A819" s="34"/>
      <c r="C819" s="13"/>
      <c r="I819" s="23"/>
      <c r="J819" s="29" t="str">
        <f t="shared" si="11"/>
        <v/>
      </c>
      <c r="L819" s="71"/>
      <c r="M819" s="71"/>
      <c r="N819" s="71"/>
      <c r="O819" s="71"/>
      <c r="P819" s="71" t="str">
        <f>IFERROR(INDEX(RECICLADORES!C:C,MATCH(D819,RECICLADORES!B:B,0)),"")</f>
        <v/>
      </c>
      <c r="Q819" s="71" t="str">
        <f>IFERROR(INDEX(RECICLADORES!O:O,MATCH(D819,RECICLADORES!B:B,0)),"")</f>
        <v/>
      </c>
      <c r="R819" s="65"/>
      <c r="S819" s="65"/>
      <c r="T819" s="71"/>
      <c r="U819" s="71"/>
      <c r="V819" s="86"/>
    </row>
    <row r="820" spans="1:22" ht="16.5" thickTop="1" thickBot="1" x14ac:dyDescent="0.3">
      <c r="A820" s="35"/>
      <c r="C820" s="13"/>
      <c r="I820" s="23"/>
      <c r="J820" s="29" t="str">
        <f t="shared" si="11"/>
        <v/>
      </c>
      <c r="L820" s="71"/>
      <c r="M820" s="71"/>
      <c r="N820" s="71"/>
      <c r="O820" s="71"/>
      <c r="P820" s="71" t="str">
        <f>IFERROR(INDEX(RECICLADORES!C:C,MATCH(D820,RECICLADORES!B:B,0)),"")</f>
        <v/>
      </c>
      <c r="Q820" s="71" t="str">
        <f>IFERROR(INDEX(RECICLADORES!O:O,MATCH(D820,RECICLADORES!B:B,0)),"")</f>
        <v/>
      </c>
      <c r="R820" s="65"/>
      <c r="S820" s="65"/>
      <c r="T820" s="71"/>
      <c r="U820" s="71"/>
      <c r="V820" s="86"/>
    </row>
    <row r="821" spans="1:22" ht="16.5" thickTop="1" thickBot="1" x14ac:dyDescent="0.3">
      <c r="A821" s="34"/>
      <c r="C821" s="13"/>
      <c r="I821" s="23"/>
      <c r="J821" s="29" t="str">
        <f t="shared" si="11"/>
        <v/>
      </c>
      <c r="L821" s="71"/>
      <c r="M821" s="71"/>
      <c r="N821" s="71"/>
      <c r="O821" s="71"/>
      <c r="P821" s="71" t="str">
        <f>IFERROR(INDEX(RECICLADORES!C:C,MATCH(D821,RECICLADORES!B:B,0)),"")</f>
        <v/>
      </c>
      <c r="Q821" s="71" t="str">
        <f>IFERROR(INDEX(RECICLADORES!O:O,MATCH(D821,RECICLADORES!B:B,0)),"")</f>
        <v/>
      </c>
      <c r="R821" s="65"/>
      <c r="S821" s="65"/>
      <c r="T821" s="71"/>
      <c r="U821" s="71"/>
      <c r="V821" s="86"/>
    </row>
    <row r="822" spans="1:22" ht="16.5" thickTop="1" thickBot="1" x14ac:dyDescent="0.3">
      <c r="A822" s="35"/>
      <c r="C822" s="13"/>
      <c r="I822" s="23"/>
      <c r="J822" s="29" t="str">
        <f t="shared" si="11"/>
        <v/>
      </c>
      <c r="L822" s="71"/>
      <c r="M822" s="71"/>
      <c r="N822" s="71"/>
      <c r="O822" s="71"/>
      <c r="P822" s="71" t="str">
        <f>IFERROR(INDEX(RECICLADORES!C:C,MATCH(D822,RECICLADORES!B:B,0)),"")</f>
        <v/>
      </c>
      <c r="Q822" s="71" t="str">
        <f>IFERROR(INDEX(RECICLADORES!O:O,MATCH(D822,RECICLADORES!B:B,0)),"")</f>
        <v/>
      </c>
      <c r="R822" s="65"/>
      <c r="S822" s="65"/>
      <c r="T822" s="71"/>
      <c r="U822" s="71"/>
      <c r="V822" s="86"/>
    </row>
    <row r="823" spans="1:22" ht="16.5" thickTop="1" thickBot="1" x14ac:dyDescent="0.3">
      <c r="A823" s="34"/>
      <c r="C823" s="13"/>
      <c r="I823" s="23"/>
      <c r="J823" s="29" t="str">
        <f t="shared" si="11"/>
        <v/>
      </c>
      <c r="L823" s="71"/>
      <c r="M823" s="71"/>
      <c r="N823" s="71"/>
      <c r="O823" s="71"/>
      <c r="P823" s="71" t="str">
        <f>IFERROR(INDEX(RECICLADORES!C:C,MATCH(D823,RECICLADORES!B:B,0)),"")</f>
        <v/>
      </c>
      <c r="Q823" s="71" t="str">
        <f>IFERROR(INDEX(RECICLADORES!O:O,MATCH(D823,RECICLADORES!B:B,0)),"")</f>
        <v/>
      </c>
      <c r="R823" s="65"/>
      <c r="S823" s="65"/>
      <c r="T823" s="71"/>
      <c r="U823" s="71"/>
      <c r="V823" s="86"/>
    </row>
    <row r="824" spans="1:22" ht="16.5" thickTop="1" thickBot="1" x14ac:dyDescent="0.3">
      <c r="A824" s="35"/>
      <c r="C824" s="13"/>
      <c r="I824" s="23"/>
      <c r="J824" s="29" t="str">
        <f t="shared" si="11"/>
        <v/>
      </c>
      <c r="L824" s="71"/>
      <c r="M824" s="71"/>
      <c r="N824" s="71"/>
      <c r="O824" s="71"/>
      <c r="P824" s="71" t="str">
        <f>IFERROR(INDEX(RECICLADORES!C:C,MATCH(D824,RECICLADORES!B:B,0)),"")</f>
        <v/>
      </c>
      <c r="Q824" s="71" t="str">
        <f>IFERROR(INDEX(RECICLADORES!O:O,MATCH(D824,RECICLADORES!B:B,0)),"")</f>
        <v/>
      </c>
      <c r="R824" s="65"/>
      <c r="S824" s="65"/>
      <c r="T824" s="71"/>
      <c r="U824" s="71"/>
      <c r="V824" s="86"/>
    </row>
    <row r="825" spans="1:22" ht="16.5" thickTop="1" thickBot="1" x14ac:dyDescent="0.3">
      <c r="A825" s="34"/>
      <c r="C825" s="13"/>
      <c r="I825" s="23"/>
      <c r="J825" s="29" t="str">
        <f t="shared" si="11"/>
        <v/>
      </c>
      <c r="L825" s="71"/>
      <c r="M825" s="71"/>
      <c r="N825" s="71"/>
      <c r="O825" s="71"/>
      <c r="P825" s="71" t="str">
        <f>IFERROR(INDEX(RECICLADORES!C:C,MATCH(D825,RECICLADORES!B:B,0)),"")</f>
        <v/>
      </c>
      <c r="Q825" s="71" t="str">
        <f>IFERROR(INDEX(RECICLADORES!O:O,MATCH(D825,RECICLADORES!B:B,0)),"")</f>
        <v/>
      </c>
      <c r="R825" s="65"/>
      <c r="S825" s="65"/>
      <c r="T825" s="71"/>
      <c r="U825" s="71"/>
      <c r="V825" s="86"/>
    </row>
    <row r="826" spans="1:22" ht="16.5" thickTop="1" thickBot="1" x14ac:dyDescent="0.3">
      <c r="A826" s="35"/>
      <c r="C826" s="13"/>
      <c r="I826" s="23"/>
      <c r="J826" s="29" t="str">
        <f t="shared" si="11"/>
        <v/>
      </c>
      <c r="L826" s="71"/>
      <c r="M826" s="71"/>
      <c r="N826" s="71"/>
      <c r="O826" s="71"/>
      <c r="P826" s="71" t="str">
        <f>IFERROR(INDEX(RECICLADORES!C:C,MATCH(D826,RECICLADORES!B:B,0)),"")</f>
        <v/>
      </c>
      <c r="Q826" s="71" t="str">
        <f>IFERROR(INDEX(RECICLADORES!O:O,MATCH(D826,RECICLADORES!B:B,0)),"")</f>
        <v/>
      </c>
      <c r="R826" s="65"/>
      <c r="S826" s="65"/>
      <c r="T826" s="71"/>
      <c r="U826" s="71"/>
      <c r="V826" s="86"/>
    </row>
    <row r="827" spans="1:22" ht="16.5" thickTop="1" thickBot="1" x14ac:dyDescent="0.3">
      <c r="A827" s="34"/>
      <c r="C827" s="13"/>
      <c r="I827" s="23"/>
      <c r="J827" s="29" t="str">
        <f t="shared" si="11"/>
        <v/>
      </c>
      <c r="L827" s="71"/>
      <c r="M827" s="71"/>
      <c r="N827" s="71"/>
      <c r="O827" s="71"/>
      <c r="P827" s="71" t="str">
        <f>IFERROR(INDEX(RECICLADORES!C:C,MATCH(D827,RECICLADORES!B:B,0)),"")</f>
        <v/>
      </c>
      <c r="Q827" s="71" t="str">
        <f>IFERROR(INDEX(RECICLADORES!O:O,MATCH(D827,RECICLADORES!B:B,0)),"")</f>
        <v/>
      </c>
      <c r="R827" s="65"/>
      <c r="S827" s="65"/>
      <c r="T827" s="71"/>
      <c r="U827" s="71"/>
      <c r="V827" s="86"/>
    </row>
    <row r="828" spans="1:22" ht="16.5" thickTop="1" thickBot="1" x14ac:dyDescent="0.3">
      <c r="A828" s="35"/>
      <c r="C828" s="13"/>
      <c r="I828" s="23"/>
      <c r="J828" s="29" t="str">
        <f t="shared" si="11"/>
        <v/>
      </c>
      <c r="L828" s="71"/>
      <c r="M828" s="71"/>
      <c r="N828" s="71"/>
      <c r="O828" s="71"/>
      <c r="P828" s="71" t="str">
        <f>IFERROR(INDEX(RECICLADORES!C:C,MATCH(D828,RECICLADORES!B:B,0)),"")</f>
        <v/>
      </c>
      <c r="Q828" s="71" t="str">
        <f>IFERROR(INDEX(RECICLADORES!O:O,MATCH(D828,RECICLADORES!B:B,0)),"")</f>
        <v/>
      </c>
      <c r="R828" s="65"/>
      <c r="S828" s="65"/>
      <c r="T828" s="71"/>
      <c r="U828" s="71"/>
      <c r="V828" s="86"/>
    </row>
    <row r="829" spans="1:22" ht="16.5" thickTop="1" thickBot="1" x14ac:dyDescent="0.3">
      <c r="A829" s="34"/>
      <c r="C829" s="13"/>
      <c r="I829" s="23"/>
      <c r="J829" s="29" t="str">
        <f t="shared" si="11"/>
        <v/>
      </c>
      <c r="L829" s="71"/>
      <c r="M829" s="71"/>
      <c r="N829" s="71"/>
      <c r="O829" s="71"/>
      <c r="P829" s="71" t="str">
        <f>IFERROR(INDEX(RECICLADORES!C:C,MATCH(D829,RECICLADORES!B:B,0)),"")</f>
        <v/>
      </c>
      <c r="Q829" s="71" t="str">
        <f>IFERROR(INDEX(RECICLADORES!O:O,MATCH(D829,RECICLADORES!B:B,0)),"")</f>
        <v/>
      </c>
      <c r="R829" s="65"/>
      <c r="S829" s="65"/>
      <c r="T829" s="71"/>
      <c r="U829" s="71"/>
      <c r="V829" s="86"/>
    </row>
    <row r="830" spans="1:22" ht="16.5" thickTop="1" thickBot="1" x14ac:dyDescent="0.3">
      <c r="A830" s="35"/>
      <c r="C830" s="13"/>
      <c r="I830" s="23"/>
      <c r="J830" s="29" t="str">
        <f t="shared" si="11"/>
        <v/>
      </c>
      <c r="L830" s="71"/>
      <c r="M830" s="71"/>
      <c r="N830" s="71"/>
      <c r="O830" s="71"/>
      <c r="P830" s="71" t="str">
        <f>IFERROR(INDEX(RECICLADORES!C:C,MATCH(D830,RECICLADORES!B:B,0)),"")</f>
        <v/>
      </c>
      <c r="Q830" s="71" t="str">
        <f>IFERROR(INDEX(RECICLADORES!O:O,MATCH(D830,RECICLADORES!B:B,0)),"")</f>
        <v/>
      </c>
      <c r="R830" s="65"/>
      <c r="S830" s="65"/>
      <c r="T830" s="71"/>
      <c r="U830" s="71"/>
      <c r="V830" s="86"/>
    </row>
    <row r="831" spans="1:22" ht="16.5" thickTop="1" thickBot="1" x14ac:dyDescent="0.3">
      <c r="A831" s="35"/>
      <c r="C831" s="13"/>
      <c r="I831" s="23"/>
      <c r="J831" s="29" t="str">
        <f t="shared" si="11"/>
        <v/>
      </c>
      <c r="L831" s="71"/>
      <c r="M831" s="71"/>
      <c r="N831" s="71"/>
      <c r="O831" s="71"/>
      <c r="P831" s="71" t="str">
        <f>IFERROR(INDEX(RECICLADORES!C:C,MATCH(D831,RECICLADORES!B:B,0)),"")</f>
        <v/>
      </c>
      <c r="Q831" s="71" t="str">
        <f>IFERROR(INDEX(RECICLADORES!O:O,MATCH(D831,RECICLADORES!B:B,0)),"")</f>
        <v/>
      </c>
      <c r="R831" s="65"/>
      <c r="S831" s="65"/>
      <c r="T831" s="71"/>
      <c r="U831" s="71"/>
      <c r="V831" s="86"/>
    </row>
    <row r="832" spans="1:22" ht="16.5" thickTop="1" thickBot="1" x14ac:dyDescent="0.3">
      <c r="A832" s="34"/>
      <c r="C832" s="13"/>
      <c r="I832" s="23"/>
      <c r="J832" s="29" t="str">
        <f t="shared" si="11"/>
        <v/>
      </c>
      <c r="L832" s="71"/>
      <c r="M832" s="71"/>
      <c r="N832" s="71"/>
      <c r="O832" s="71"/>
      <c r="P832" s="71" t="str">
        <f>IFERROR(INDEX(RECICLADORES!C:C,MATCH(D832,RECICLADORES!B:B,0)),"")</f>
        <v/>
      </c>
      <c r="Q832" s="71" t="str">
        <f>IFERROR(INDEX(RECICLADORES!O:O,MATCH(D832,RECICLADORES!B:B,0)),"")</f>
        <v/>
      </c>
      <c r="R832" s="65"/>
      <c r="S832" s="65"/>
      <c r="T832" s="71"/>
      <c r="U832" s="71"/>
      <c r="V832" s="86"/>
    </row>
    <row r="833" spans="1:22" ht="16.5" thickTop="1" thickBot="1" x14ac:dyDescent="0.3">
      <c r="A833" s="35"/>
      <c r="C833" s="13"/>
      <c r="I833" s="23"/>
      <c r="J833" s="29" t="str">
        <f t="shared" si="11"/>
        <v/>
      </c>
      <c r="L833" s="71"/>
      <c r="M833" s="71"/>
      <c r="N833" s="71"/>
      <c r="O833" s="71"/>
      <c r="P833" s="71" t="str">
        <f>IFERROR(INDEX(RECICLADORES!C:C,MATCH(D833,RECICLADORES!B:B,0)),"")</f>
        <v/>
      </c>
      <c r="Q833" s="71" t="str">
        <f>IFERROR(INDEX(RECICLADORES!O:O,MATCH(D833,RECICLADORES!B:B,0)),"")</f>
        <v/>
      </c>
      <c r="R833" s="65"/>
      <c r="S833" s="65"/>
      <c r="T833" s="71"/>
      <c r="U833" s="71"/>
      <c r="V833" s="86"/>
    </row>
    <row r="834" spans="1:22" ht="16.5" thickTop="1" thickBot="1" x14ac:dyDescent="0.3">
      <c r="A834" s="34"/>
      <c r="C834" s="13"/>
      <c r="I834" s="23"/>
      <c r="J834" s="29" t="str">
        <f t="shared" si="11"/>
        <v/>
      </c>
      <c r="L834" s="71"/>
      <c r="M834" s="71"/>
      <c r="N834" s="71"/>
      <c r="O834" s="71"/>
      <c r="P834" s="71" t="str">
        <f>IFERROR(INDEX(RECICLADORES!C:C,MATCH(D834,RECICLADORES!B:B,0)),"")</f>
        <v/>
      </c>
      <c r="Q834" s="71" t="str">
        <f>IFERROR(INDEX(RECICLADORES!O:O,MATCH(D834,RECICLADORES!B:B,0)),"")</f>
        <v/>
      </c>
      <c r="R834" s="65"/>
      <c r="S834" s="65"/>
      <c r="T834" s="71"/>
      <c r="U834" s="71"/>
      <c r="V834" s="86"/>
    </row>
    <row r="835" spans="1:22" ht="16.5" thickTop="1" thickBot="1" x14ac:dyDescent="0.3">
      <c r="A835" s="35"/>
      <c r="C835" s="13"/>
      <c r="I835" s="23"/>
      <c r="J835" s="29" t="str">
        <f t="shared" si="11"/>
        <v/>
      </c>
      <c r="L835" s="71"/>
      <c r="M835" s="71"/>
      <c r="N835" s="71"/>
      <c r="O835" s="71"/>
      <c r="P835" s="71" t="str">
        <f>IFERROR(INDEX(RECICLADORES!C:C,MATCH(D835,RECICLADORES!B:B,0)),"")</f>
        <v/>
      </c>
      <c r="Q835" s="71" t="str">
        <f>IFERROR(INDEX(RECICLADORES!O:O,MATCH(D835,RECICLADORES!B:B,0)),"")</f>
        <v/>
      </c>
      <c r="R835" s="65"/>
      <c r="S835" s="65"/>
      <c r="T835" s="71"/>
      <c r="U835" s="71"/>
      <c r="V835" s="86"/>
    </row>
    <row r="836" spans="1:22" ht="16.5" thickTop="1" thickBot="1" x14ac:dyDescent="0.3">
      <c r="A836" s="34"/>
      <c r="C836" s="13"/>
      <c r="I836" s="23"/>
      <c r="J836" s="29" t="str">
        <f t="shared" si="11"/>
        <v/>
      </c>
      <c r="L836" s="71"/>
      <c r="M836" s="71"/>
      <c r="N836" s="71"/>
      <c r="O836" s="71"/>
      <c r="P836" s="71" t="str">
        <f>IFERROR(INDEX(RECICLADORES!C:C,MATCH(D836,RECICLADORES!B:B,0)),"")</f>
        <v/>
      </c>
      <c r="Q836" s="71" t="str">
        <f>IFERROR(INDEX(RECICLADORES!O:O,MATCH(D836,RECICLADORES!B:B,0)),"")</f>
        <v/>
      </c>
      <c r="R836" s="65"/>
      <c r="S836" s="65"/>
      <c r="T836" s="71"/>
      <c r="U836" s="71"/>
      <c r="V836" s="86"/>
    </row>
    <row r="837" spans="1:22" ht="16.5" thickTop="1" thickBot="1" x14ac:dyDescent="0.3">
      <c r="A837" s="35"/>
      <c r="C837" s="13"/>
      <c r="I837" s="23"/>
      <c r="J837" s="29" t="str">
        <f t="shared" si="11"/>
        <v/>
      </c>
      <c r="L837" s="71"/>
      <c r="M837" s="71"/>
      <c r="N837" s="71"/>
      <c r="O837" s="71"/>
      <c r="P837" s="71" t="str">
        <f>IFERROR(INDEX(RECICLADORES!C:C,MATCH(D837,RECICLADORES!B:B,0)),"")</f>
        <v/>
      </c>
      <c r="Q837" s="71" t="str">
        <f>IFERROR(INDEX(RECICLADORES!O:O,MATCH(D837,RECICLADORES!B:B,0)),"")</f>
        <v/>
      </c>
      <c r="R837" s="65"/>
      <c r="S837" s="65"/>
      <c r="T837" s="71"/>
      <c r="U837" s="71"/>
      <c r="V837" s="86"/>
    </row>
    <row r="838" spans="1:22" ht="16.5" thickTop="1" thickBot="1" x14ac:dyDescent="0.3">
      <c r="A838" s="34"/>
      <c r="C838" s="13"/>
      <c r="I838" s="23"/>
      <c r="J838" s="29" t="str">
        <f t="shared" si="11"/>
        <v/>
      </c>
      <c r="L838" s="71"/>
      <c r="M838" s="71"/>
      <c r="N838" s="71"/>
      <c r="O838" s="71"/>
      <c r="P838" s="71" t="str">
        <f>IFERROR(INDEX(RECICLADORES!C:C,MATCH(D838,RECICLADORES!B:B,0)),"")</f>
        <v/>
      </c>
      <c r="Q838" s="71" t="str">
        <f>IFERROR(INDEX(RECICLADORES!O:O,MATCH(D838,RECICLADORES!B:B,0)),"")</f>
        <v/>
      </c>
      <c r="R838" s="65"/>
      <c r="S838" s="65"/>
      <c r="T838" s="71"/>
      <c r="U838" s="71"/>
      <c r="V838" s="86"/>
    </row>
    <row r="839" spans="1:22" ht="16.5" thickTop="1" thickBot="1" x14ac:dyDescent="0.3">
      <c r="A839" s="35"/>
      <c r="C839" s="13"/>
      <c r="I839" s="23"/>
      <c r="J839" s="29" t="str">
        <f t="shared" si="11"/>
        <v/>
      </c>
      <c r="L839" s="71"/>
      <c r="M839" s="71"/>
      <c r="N839" s="71"/>
      <c r="O839" s="71"/>
      <c r="P839" s="71" t="str">
        <f>IFERROR(INDEX(RECICLADORES!C:C,MATCH(D839,RECICLADORES!B:B,0)),"")</f>
        <v/>
      </c>
      <c r="Q839" s="71" t="str">
        <f>IFERROR(INDEX(RECICLADORES!O:O,MATCH(D839,RECICLADORES!B:B,0)),"")</f>
        <v/>
      </c>
      <c r="R839" s="65"/>
      <c r="S839" s="65"/>
      <c r="T839" s="71"/>
      <c r="U839" s="71"/>
      <c r="V839" s="86"/>
    </row>
    <row r="840" spans="1:22" ht="16.5" thickTop="1" thickBot="1" x14ac:dyDescent="0.3">
      <c r="A840" s="34"/>
      <c r="C840" s="13"/>
      <c r="I840" s="23"/>
      <c r="J840" s="29" t="str">
        <f t="shared" si="11"/>
        <v/>
      </c>
      <c r="L840" s="71"/>
      <c r="M840" s="71"/>
      <c r="N840" s="71"/>
      <c r="O840" s="71"/>
      <c r="P840" s="71" t="str">
        <f>IFERROR(INDEX(RECICLADORES!C:C,MATCH(D840,RECICLADORES!B:B,0)),"")</f>
        <v/>
      </c>
      <c r="Q840" s="71" t="str">
        <f>IFERROR(INDEX(RECICLADORES!O:O,MATCH(D840,RECICLADORES!B:B,0)),"")</f>
        <v/>
      </c>
      <c r="R840" s="65"/>
      <c r="S840" s="65"/>
      <c r="T840" s="71"/>
      <c r="U840" s="71"/>
      <c r="V840" s="86"/>
    </row>
    <row r="841" spans="1:22" ht="16.5" thickTop="1" thickBot="1" x14ac:dyDescent="0.3">
      <c r="A841" s="35"/>
      <c r="C841" s="13"/>
      <c r="I841" s="23"/>
      <c r="J841" s="29" t="str">
        <f t="shared" si="11"/>
        <v/>
      </c>
      <c r="L841" s="71"/>
      <c r="M841" s="71"/>
      <c r="N841" s="71"/>
      <c r="O841" s="71"/>
      <c r="P841" s="71" t="str">
        <f>IFERROR(INDEX(RECICLADORES!C:C,MATCH(D841,RECICLADORES!B:B,0)),"")</f>
        <v/>
      </c>
      <c r="Q841" s="71" t="str">
        <f>IFERROR(INDEX(RECICLADORES!O:O,MATCH(D841,RECICLADORES!B:B,0)),"")</f>
        <v/>
      </c>
      <c r="R841" s="65"/>
      <c r="S841" s="65"/>
      <c r="T841" s="71"/>
      <c r="U841" s="71"/>
      <c r="V841" s="86"/>
    </row>
    <row r="842" spans="1:22" ht="16.5" thickTop="1" thickBot="1" x14ac:dyDescent="0.3">
      <c r="A842" s="34"/>
      <c r="C842" s="13"/>
      <c r="I842" s="23"/>
      <c r="J842" s="29" t="str">
        <f t="shared" si="11"/>
        <v/>
      </c>
      <c r="L842" s="71"/>
      <c r="M842" s="71"/>
      <c r="N842" s="71"/>
      <c r="O842" s="71"/>
      <c r="P842" s="71" t="str">
        <f>IFERROR(INDEX(RECICLADORES!C:C,MATCH(D842,RECICLADORES!B:B,0)),"")</f>
        <v/>
      </c>
      <c r="Q842" s="71" t="str">
        <f>IFERROR(INDEX(RECICLADORES!O:O,MATCH(D842,RECICLADORES!B:B,0)),"")</f>
        <v/>
      </c>
      <c r="R842" s="65"/>
      <c r="S842" s="65"/>
      <c r="T842" s="71"/>
      <c r="U842" s="71"/>
      <c r="V842" s="86"/>
    </row>
    <row r="843" spans="1:22" ht="16.5" thickTop="1" thickBot="1" x14ac:dyDescent="0.3">
      <c r="A843" s="35"/>
      <c r="C843" s="13"/>
      <c r="I843" s="23"/>
      <c r="J843" s="29" t="str">
        <f t="shared" si="11"/>
        <v/>
      </c>
      <c r="L843" s="71"/>
      <c r="M843" s="71"/>
      <c r="N843" s="71"/>
      <c r="O843" s="71"/>
      <c r="P843" s="71" t="str">
        <f>IFERROR(INDEX(RECICLADORES!C:C,MATCH(D843,RECICLADORES!B:B,0)),"")</f>
        <v/>
      </c>
      <c r="Q843" s="71" t="str">
        <f>IFERROR(INDEX(RECICLADORES!O:O,MATCH(D843,RECICLADORES!B:B,0)),"")</f>
        <v/>
      </c>
      <c r="R843" s="65"/>
      <c r="S843" s="65"/>
      <c r="T843" s="71"/>
      <c r="U843" s="71"/>
      <c r="V843" s="86"/>
    </row>
    <row r="844" spans="1:22" ht="16.5" thickTop="1" thickBot="1" x14ac:dyDescent="0.3">
      <c r="A844" s="34"/>
      <c r="C844" s="13"/>
      <c r="I844" s="23"/>
      <c r="J844" s="29" t="str">
        <f t="shared" si="11"/>
        <v/>
      </c>
      <c r="L844" s="71"/>
      <c r="M844" s="71"/>
      <c r="N844" s="71"/>
      <c r="O844" s="71"/>
      <c r="P844" s="71" t="str">
        <f>IFERROR(INDEX(RECICLADORES!C:C,MATCH(D844,RECICLADORES!B:B,0)),"")</f>
        <v/>
      </c>
      <c r="Q844" s="71" t="str">
        <f>IFERROR(INDEX(RECICLADORES!O:O,MATCH(D844,RECICLADORES!B:B,0)),"")</f>
        <v/>
      </c>
      <c r="R844" s="65"/>
      <c r="S844" s="65"/>
      <c r="T844" s="71"/>
      <c r="U844" s="71"/>
      <c r="V844" s="86"/>
    </row>
    <row r="845" spans="1:22" ht="16.5" thickTop="1" thickBot="1" x14ac:dyDescent="0.3">
      <c r="A845" s="35"/>
      <c r="C845" s="13"/>
      <c r="I845" s="23"/>
      <c r="J845" s="29" t="str">
        <f t="shared" si="11"/>
        <v/>
      </c>
      <c r="L845" s="71"/>
      <c r="M845" s="71"/>
      <c r="N845" s="71"/>
      <c r="O845" s="71"/>
      <c r="P845" s="71" t="str">
        <f>IFERROR(INDEX(RECICLADORES!C:C,MATCH(D845,RECICLADORES!B:B,0)),"")</f>
        <v/>
      </c>
      <c r="Q845" s="71" t="str">
        <f>IFERROR(INDEX(RECICLADORES!O:O,MATCH(D845,RECICLADORES!B:B,0)),"")</f>
        <v/>
      </c>
      <c r="R845" s="65"/>
      <c r="S845" s="65"/>
      <c r="T845" s="71"/>
      <c r="U845" s="71"/>
      <c r="V845" s="86"/>
    </row>
    <row r="846" spans="1:22" ht="16.5" thickTop="1" thickBot="1" x14ac:dyDescent="0.3">
      <c r="A846" s="34"/>
      <c r="C846" s="13"/>
      <c r="I846" s="23"/>
      <c r="J846" s="29" t="str">
        <f t="shared" si="11"/>
        <v/>
      </c>
      <c r="L846" s="71"/>
      <c r="M846" s="71"/>
      <c r="N846" s="71"/>
      <c r="O846" s="71"/>
      <c r="P846" s="71" t="str">
        <f>IFERROR(INDEX(RECICLADORES!C:C,MATCH(D846,RECICLADORES!B:B,0)),"")</f>
        <v/>
      </c>
      <c r="Q846" s="71" t="str">
        <f>IFERROR(INDEX(RECICLADORES!O:O,MATCH(D846,RECICLADORES!B:B,0)),"")</f>
        <v/>
      </c>
      <c r="R846" s="65"/>
      <c r="S846" s="65"/>
      <c r="T846" s="71"/>
      <c r="U846" s="71"/>
      <c r="V846" s="86"/>
    </row>
    <row r="847" spans="1:22" ht="16.5" thickTop="1" thickBot="1" x14ac:dyDescent="0.3">
      <c r="A847" s="35"/>
      <c r="C847" s="13"/>
      <c r="I847" s="23"/>
      <c r="J847" s="29" t="str">
        <f t="shared" si="11"/>
        <v/>
      </c>
      <c r="L847" s="71"/>
      <c r="M847" s="71"/>
      <c r="N847" s="71"/>
      <c r="O847" s="71"/>
      <c r="P847" s="71" t="str">
        <f>IFERROR(INDEX(RECICLADORES!C:C,MATCH(D847,RECICLADORES!B:B,0)),"")</f>
        <v/>
      </c>
      <c r="Q847" s="71" t="str">
        <f>IFERROR(INDEX(RECICLADORES!O:O,MATCH(D847,RECICLADORES!B:B,0)),"")</f>
        <v/>
      </c>
      <c r="R847" s="65"/>
      <c r="S847" s="65"/>
      <c r="T847" s="71"/>
      <c r="U847" s="71"/>
      <c r="V847" s="86"/>
    </row>
    <row r="848" spans="1:22" ht="16.5" thickTop="1" thickBot="1" x14ac:dyDescent="0.3">
      <c r="A848" s="34"/>
      <c r="C848" s="13"/>
      <c r="I848" s="23"/>
      <c r="J848" s="29" t="str">
        <f t="shared" si="11"/>
        <v/>
      </c>
      <c r="L848" s="71"/>
      <c r="M848" s="71"/>
      <c r="N848" s="71"/>
      <c r="O848" s="71"/>
      <c r="P848" s="71" t="str">
        <f>IFERROR(INDEX(RECICLADORES!C:C,MATCH(D848,RECICLADORES!B:B,0)),"")</f>
        <v/>
      </c>
      <c r="Q848" s="71" t="str">
        <f>IFERROR(INDEX(RECICLADORES!O:O,MATCH(D848,RECICLADORES!B:B,0)),"")</f>
        <v/>
      </c>
      <c r="R848" s="65"/>
      <c r="S848" s="65"/>
      <c r="T848" s="71"/>
      <c r="U848" s="71"/>
      <c r="V848" s="86"/>
    </row>
    <row r="849" spans="1:22" ht="16.5" thickTop="1" thickBot="1" x14ac:dyDescent="0.3">
      <c r="A849" s="35"/>
      <c r="C849" s="13"/>
      <c r="I849" s="23"/>
      <c r="J849" s="29" t="str">
        <f t="shared" si="11"/>
        <v/>
      </c>
      <c r="L849" s="71"/>
      <c r="M849" s="71"/>
      <c r="N849" s="71"/>
      <c r="O849" s="71"/>
      <c r="P849" s="71" t="str">
        <f>IFERROR(INDEX(RECICLADORES!C:C,MATCH(D849,RECICLADORES!B:B,0)),"")</f>
        <v/>
      </c>
      <c r="Q849" s="71" t="str">
        <f>IFERROR(INDEX(RECICLADORES!O:O,MATCH(D849,RECICLADORES!B:B,0)),"")</f>
        <v/>
      </c>
      <c r="R849" s="65"/>
      <c r="S849" s="65"/>
      <c r="T849" s="71"/>
      <c r="U849" s="71"/>
      <c r="V849" s="86"/>
    </row>
    <row r="850" spans="1:22" ht="16.5" thickTop="1" thickBot="1" x14ac:dyDescent="0.3">
      <c r="A850" s="34"/>
      <c r="C850" s="13"/>
      <c r="I850" s="23"/>
      <c r="J850" s="29" t="str">
        <f t="shared" si="11"/>
        <v/>
      </c>
      <c r="L850" s="71"/>
      <c r="M850" s="71"/>
      <c r="N850" s="71"/>
      <c r="O850" s="71"/>
      <c r="P850" s="71" t="str">
        <f>IFERROR(INDEX(RECICLADORES!C:C,MATCH(D850,RECICLADORES!B:B,0)),"")</f>
        <v/>
      </c>
      <c r="Q850" s="71" t="str">
        <f>IFERROR(INDEX(RECICLADORES!O:O,MATCH(D850,RECICLADORES!B:B,0)),"")</f>
        <v/>
      </c>
      <c r="R850" s="65"/>
      <c r="S850" s="65"/>
      <c r="T850" s="71"/>
      <c r="U850" s="71"/>
      <c r="V850" s="86"/>
    </row>
    <row r="851" spans="1:22" ht="16.5" thickTop="1" thickBot="1" x14ac:dyDescent="0.3">
      <c r="A851" s="35"/>
      <c r="C851" s="13"/>
      <c r="I851" s="23"/>
      <c r="J851" s="29" t="str">
        <f t="shared" si="11"/>
        <v/>
      </c>
      <c r="L851" s="71"/>
      <c r="M851" s="71"/>
      <c r="N851" s="71"/>
      <c r="O851" s="71"/>
      <c r="P851" s="71" t="str">
        <f>IFERROR(INDEX(RECICLADORES!C:C,MATCH(D851,RECICLADORES!B:B,0)),"")</f>
        <v/>
      </c>
      <c r="Q851" s="71" t="str">
        <f>IFERROR(INDEX(RECICLADORES!O:O,MATCH(D851,RECICLADORES!B:B,0)),"")</f>
        <v/>
      </c>
      <c r="R851" s="65"/>
      <c r="S851" s="65"/>
      <c r="T851" s="71"/>
      <c r="U851" s="71"/>
      <c r="V851" s="86"/>
    </row>
    <row r="852" spans="1:22" ht="16.5" thickTop="1" thickBot="1" x14ac:dyDescent="0.3">
      <c r="A852" s="34"/>
      <c r="C852" s="13"/>
      <c r="I852" s="23"/>
      <c r="J852" s="29" t="str">
        <f t="shared" si="11"/>
        <v/>
      </c>
      <c r="L852" s="71"/>
      <c r="M852" s="71"/>
      <c r="N852" s="71"/>
      <c r="O852" s="71"/>
      <c r="P852" s="71" t="str">
        <f>IFERROR(INDEX(RECICLADORES!C:C,MATCH(D852,RECICLADORES!B:B,0)),"")</f>
        <v/>
      </c>
      <c r="Q852" s="71" t="str">
        <f>IFERROR(INDEX(RECICLADORES!O:O,MATCH(D852,RECICLADORES!B:B,0)),"")</f>
        <v/>
      </c>
      <c r="R852" s="65"/>
      <c r="S852" s="65"/>
      <c r="T852" s="71"/>
      <c r="U852" s="71"/>
      <c r="V852" s="86"/>
    </row>
    <row r="853" spans="1:22" ht="16.5" thickTop="1" thickBot="1" x14ac:dyDescent="0.3">
      <c r="A853" s="35"/>
      <c r="C853" s="13"/>
      <c r="I853" s="23"/>
      <c r="J853" s="29" t="str">
        <f t="shared" si="11"/>
        <v/>
      </c>
      <c r="L853" s="71"/>
      <c r="M853" s="71"/>
      <c r="N853" s="71"/>
      <c r="O853" s="71"/>
      <c r="P853" s="71" t="str">
        <f>IFERROR(INDEX(RECICLADORES!C:C,MATCH(D853,RECICLADORES!B:B,0)),"")</f>
        <v/>
      </c>
      <c r="Q853" s="71" t="str">
        <f>IFERROR(INDEX(RECICLADORES!O:O,MATCH(D853,RECICLADORES!B:B,0)),"")</f>
        <v/>
      </c>
      <c r="R853" s="65"/>
      <c r="S853" s="65"/>
      <c r="T853" s="71"/>
      <c r="U853" s="71"/>
      <c r="V853" s="86"/>
    </row>
    <row r="854" spans="1:22" ht="16.5" thickTop="1" thickBot="1" x14ac:dyDescent="0.3">
      <c r="A854" s="34"/>
      <c r="C854" s="13"/>
      <c r="I854" s="23"/>
      <c r="J854" s="29" t="str">
        <f t="shared" si="11"/>
        <v/>
      </c>
      <c r="L854" s="71"/>
      <c r="M854" s="71"/>
      <c r="N854" s="71"/>
      <c r="O854" s="71"/>
      <c r="P854" s="71" t="str">
        <f>IFERROR(INDEX(RECICLADORES!C:C,MATCH(D854,RECICLADORES!B:B,0)),"")</f>
        <v/>
      </c>
      <c r="Q854" s="71" t="str">
        <f>IFERROR(INDEX(RECICLADORES!O:O,MATCH(D854,RECICLADORES!B:B,0)),"")</f>
        <v/>
      </c>
      <c r="R854" s="65"/>
      <c r="S854" s="65"/>
      <c r="T854" s="71"/>
      <c r="U854" s="71"/>
      <c r="V854" s="86"/>
    </row>
    <row r="855" spans="1:22" ht="16.5" thickTop="1" thickBot="1" x14ac:dyDescent="0.3">
      <c r="A855" s="35"/>
      <c r="C855" s="13"/>
      <c r="I855" s="23"/>
      <c r="J855" s="29" t="str">
        <f t="shared" si="11"/>
        <v/>
      </c>
      <c r="L855" s="71"/>
      <c r="M855" s="71"/>
      <c r="N855" s="71"/>
      <c r="O855" s="71"/>
      <c r="P855" s="71" t="str">
        <f>IFERROR(INDEX(RECICLADORES!C:C,MATCH(D855,RECICLADORES!B:B,0)),"")</f>
        <v/>
      </c>
      <c r="Q855" s="71" t="str">
        <f>IFERROR(INDEX(RECICLADORES!O:O,MATCH(D855,RECICLADORES!B:B,0)),"")</f>
        <v/>
      </c>
      <c r="R855" s="65"/>
      <c r="S855" s="65"/>
      <c r="T855" s="71"/>
      <c r="U855" s="71"/>
      <c r="V855" s="86"/>
    </row>
    <row r="856" spans="1:22" ht="16.5" thickTop="1" thickBot="1" x14ac:dyDescent="0.3">
      <c r="A856" s="34"/>
      <c r="C856" s="13"/>
      <c r="I856" s="23"/>
      <c r="J856" s="29" t="str">
        <f t="shared" si="11"/>
        <v/>
      </c>
      <c r="L856" s="71"/>
      <c r="M856" s="71"/>
      <c r="N856" s="71"/>
      <c r="O856" s="71"/>
      <c r="P856" s="71" t="str">
        <f>IFERROR(INDEX(RECICLADORES!C:C,MATCH(D856,RECICLADORES!B:B,0)),"")</f>
        <v/>
      </c>
      <c r="Q856" s="71" t="str">
        <f>IFERROR(INDEX(RECICLADORES!O:O,MATCH(D856,RECICLADORES!B:B,0)),"")</f>
        <v/>
      </c>
      <c r="R856" s="65"/>
      <c r="S856" s="65"/>
      <c r="T856" s="71"/>
      <c r="U856" s="71"/>
      <c r="V856" s="86"/>
    </row>
    <row r="857" spans="1:22" ht="16.5" thickTop="1" thickBot="1" x14ac:dyDescent="0.3">
      <c r="A857" s="35"/>
      <c r="C857" s="13"/>
      <c r="I857" s="23"/>
      <c r="J857" s="29" t="str">
        <f t="shared" si="11"/>
        <v/>
      </c>
      <c r="L857" s="71"/>
      <c r="M857" s="71"/>
      <c r="N857" s="71"/>
      <c r="O857" s="71"/>
      <c r="P857" s="71" t="str">
        <f>IFERROR(INDEX(RECICLADORES!C:C,MATCH(D857,RECICLADORES!B:B,0)),"")</f>
        <v/>
      </c>
      <c r="Q857" s="71" t="str">
        <f>IFERROR(INDEX(RECICLADORES!O:O,MATCH(D857,RECICLADORES!B:B,0)),"")</f>
        <v/>
      </c>
      <c r="R857" s="65"/>
      <c r="S857" s="65"/>
      <c r="T857" s="71"/>
      <c r="U857" s="71"/>
      <c r="V857" s="86"/>
    </row>
    <row r="858" spans="1:22" ht="16.5" thickTop="1" thickBot="1" x14ac:dyDescent="0.3">
      <c r="A858" s="34"/>
      <c r="C858" s="13"/>
      <c r="I858" s="23"/>
      <c r="J858" s="29" t="str">
        <f t="shared" si="11"/>
        <v/>
      </c>
      <c r="L858" s="71"/>
      <c r="M858" s="71"/>
      <c r="N858" s="71"/>
      <c r="O858" s="71"/>
      <c r="P858" s="71" t="str">
        <f>IFERROR(INDEX(RECICLADORES!C:C,MATCH(D858,RECICLADORES!B:B,0)),"")</f>
        <v/>
      </c>
      <c r="Q858" s="71" t="str">
        <f>IFERROR(INDEX(RECICLADORES!O:O,MATCH(D858,RECICLADORES!B:B,0)),"")</f>
        <v/>
      </c>
      <c r="R858" s="65"/>
      <c r="S858" s="65"/>
      <c r="T858" s="71"/>
      <c r="U858" s="71"/>
      <c r="V858" s="86"/>
    </row>
    <row r="859" spans="1:22" ht="16.5" thickTop="1" thickBot="1" x14ac:dyDescent="0.3">
      <c r="A859" s="35"/>
      <c r="C859" s="13"/>
      <c r="I859" s="23"/>
      <c r="J859" s="29" t="str">
        <f t="shared" si="11"/>
        <v/>
      </c>
      <c r="L859" s="71"/>
      <c r="M859" s="71"/>
      <c r="N859" s="71"/>
      <c r="O859" s="71"/>
      <c r="P859" s="71" t="str">
        <f>IFERROR(INDEX(RECICLADORES!C:C,MATCH(D859,RECICLADORES!B:B,0)),"")</f>
        <v/>
      </c>
      <c r="Q859" s="71" t="str">
        <f>IFERROR(INDEX(RECICLADORES!O:O,MATCH(D859,RECICLADORES!B:B,0)),"")</f>
        <v/>
      </c>
      <c r="R859" s="65"/>
      <c r="S859" s="65"/>
      <c r="T859" s="71"/>
      <c r="U859" s="71"/>
      <c r="V859" s="86"/>
    </row>
    <row r="860" spans="1:22" ht="16.5" thickTop="1" thickBot="1" x14ac:dyDescent="0.3">
      <c r="A860" s="35"/>
      <c r="C860" s="13"/>
      <c r="I860" s="23"/>
      <c r="J860" s="29" t="str">
        <f t="shared" si="11"/>
        <v/>
      </c>
      <c r="L860" s="71"/>
      <c r="M860" s="71"/>
      <c r="N860" s="71"/>
      <c r="O860" s="71"/>
      <c r="P860" s="71" t="str">
        <f>IFERROR(INDEX(RECICLADORES!C:C,MATCH(D860,RECICLADORES!B:B,0)),"")</f>
        <v/>
      </c>
      <c r="Q860" s="71" t="str">
        <f>IFERROR(INDEX(RECICLADORES!O:O,MATCH(D860,RECICLADORES!B:B,0)),"")</f>
        <v/>
      </c>
      <c r="R860" s="65"/>
      <c r="S860" s="65"/>
      <c r="T860" s="71"/>
      <c r="U860" s="71"/>
      <c r="V860" s="86"/>
    </row>
    <row r="861" spans="1:22" ht="16.5" thickTop="1" thickBot="1" x14ac:dyDescent="0.3">
      <c r="A861" s="34"/>
      <c r="C861" s="13"/>
      <c r="I861" s="23"/>
      <c r="J861" s="29" t="str">
        <f t="shared" si="11"/>
        <v/>
      </c>
      <c r="L861" s="71"/>
      <c r="M861" s="71"/>
      <c r="N861" s="71"/>
      <c r="O861" s="71"/>
      <c r="P861" s="71" t="str">
        <f>IFERROR(INDEX(RECICLADORES!C:C,MATCH(D861,RECICLADORES!B:B,0)),"")</f>
        <v/>
      </c>
      <c r="Q861" s="71" t="str">
        <f>IFERROR(INDEX(RECICLADORES!O:O,MATCH(D861,RECICLADORES!B:B,0)),"")</f>
        <v/>
      </c>
      <c r="R861" s="65"/>
      <c r="S861" s="65"/>
      <c r="T861" s="71"/>
      <c r="U861" s="71"/>
      <c r="V861" s="86"/>
    </row>
    <row r="862" spans="1:22" ht="16.5" thickTop="1" thickBot="1" x14ac:dyDescent="0.3">
      <c r="A862" s="35"/>
      <c r="C862" s="13"/>
      <c r="I862" s="23"/>
      <c r="J862" s="29" t="str">
        <f t="shared" si="11"/>
        <v/>
      </c>
      <c r="L862" s="71"/>
      <c r="M862" s="71"/>
      <c r="N862" s="71"/>
      <c r="O862" s="71"/>
      <c r="P862" s="71" t="str">
        <f>IFERROR(INDEX(RECICLADORES!C:C,MATCH(D862,RECICLADORES!B:B,0)),"")</f>
        <v/>
      </c>
      <c r="Q862" s="71" t="str">
        <f>IFERROR(INDEX(RECICLADORES!O:O,MATCH(D862,RECICLADORES!B:B,0)),"")</f>
        <v/>
      </c>
      <c r="R862" s="65"/>
      <c r="S862" s="65"/>
      <c r="T862" s="71"/>
      <c r="U862" s="71"/>
      <c r="V862" s="86"/>
    </row>
    <row r="863" spans="1:22" ht="16.5" thickTop="1" thickBot="1" x14ac:dyDescent="0.3">
      <c r="A863" s="34"/>
      <c r="C863" s="13"/>
      <c r="I863" s="23"/>
      <c r="J863" s="29" t="str">
        <f t="shared" si="11"/>
        <v/>
      </c>
      <c r="L863" s="71"/>
      <c r="M863" s="71"/>
      <c r="N863" s="71"/>
      <c r="O863" s="71"/>
      <c r="P863" s="71" t="str">
        <f>IFERROR(INDEX(RECICLADORES!C:C,MATCH(D863,RECICLADORES!B:B,0)),"")</f>
        <v/>
      </c>
      <c r="Q863" s="71" t="str">
        <f>IFERROR(INDEX(RECICLADORES!O:O,MATCH(D863,RECICLADORES!B:B,0)),"")</f>
        <v/>
      </c>
      <c r="R863" s="65"/>
      <c r="S863" s="65"/>
      <c r="T863" s="71"/>
      <c r="U863" s="71"/>
      <c r="V863" s="86"/>
    </row>
    <row r="864" spans="1:22" ht="16.5" thickTop="1" thickBot="1" x14ac:dyDescent="0.3">
      <c r="A864" s="35"/>
      <c r="C864" s="13"/>
      <c r="I864" s="23"/>
      <c r="J864" s="29" t="str">
        <f t="shared" si="11"/>
        <v/>
      </c>
      <c r="L864" s="71"/>
      <c r="M864" s="71"/>
      <c r="N864" s="71"/>
      <c r="O864" s="71"/>
      <c r="P864" s="71" t="str">
        <f>IFERROR(INDEX(RECICLADORES!C:C,MATCH(D864,RECICLADORES!B:B,0)),"")</f>
        <v/>
      </c>
      <c r="Q864" s="71" t="str">
        <f>IFERROR(INDEX(RECICLADORES!O:O,MATCH(D864,RECICLADORES!B:B,0)),"")</f>
        <v/>
      </c>
      <c r="R864" s="65"/>
      <c r="S864" s="65"/>
      <c r="T864" s="71"/>
      <c r="U864" s="71"/>
      <c r="V864" s="86"/>
    </row>
    <row r="865" spans="1:22" ht="16.5" thickTop="1" thickBot="1" x14ac:dyDescent="0.3">
      <c r="A865" s="34"/>
      <c r="C865" s="13"/>
      <c r="I865" s="23"/>
      <c r="J865" s="29" t="str">
        <f t="shared" si="11"/>
        <v/>
      </c>
      <c r="L865" s="71"/>
      <c r="M865" s="71"/>
      <c r="N865" s="71"/>
      <c r="O865" s="71"/>
      <c r="P865" s="71" t="str">
        <f>IFERROR(INDEX(RECICLADORES!C:C,MATCH(D865,RECICLADORES!B:B,0)),"")</f>
        <v/>
      </c>
      <c r="Q865" s="71" t="str">
        <f>IFERROR(INDEX(RECICLADORES!O:O,MATCH(D865,RECICLADORES!B:B,0)),"")</f>
        <v/>
      </c>
      <c r="R865" s="65"/>
      <c r="S865" s="65"/>
      <c r="T865" s="71"/>
      <c r="U865" s="71"/>
      <c r="V865" s="86"/>
    </row>
    <row r="866" spans="1:22" ht="16.5" thickTop="1" thickBot="1" x14ac:dyDescent="0.3">
      <c r="A866" s="35"/>
      <c r="C866" s="13"/>
      <c r="I866" s="23"/>
      <c r="J866" s="29" t="str">
        <f t="shared" si="11"/>
        <v/>
      </c>
      <c r="L866" s="71"/>
      <c r="M866" s="71"/>
      <c r="N866" s="71"/>
      <c r="O866" s="71"/>
      <c r="P866" s="71" t="str">
        <f>IFERROR(INDEX(RECICLADORES!C:C,MATCH(D866,RECICLADORES!B:B,0)),"")</f>
        <v/>
      </c>
      <c r="Q866" s="71" t="str">
        <f>IFERROR(INDEX(RECICLADORES!O:O,MATCH(D866,RECICLADORES!B:B,0)),"")</f>
        <v/>
      </c>
      <c r="R866" s="65"/>
      <c r="S866" s="65"/>
      <c r="T866" s="71"/>
      <c r="U866" s="71"/>
      <c r="V866" s="86"/>
    </row>
    <row r="867" spans="1:22" ht="16.5" thickTop="1" thickBot="1" x14ac:dyDescent="0.3">
      <c r="A867" s="34"/>
      <c r="C867" s="13"/>
      <c r="I867" s="23"/>
      <c r="J867" s="29" t="str">
        <f t="shared" si="11"/>
        <v/>
      </c>
      <c r="L867" s="71"/>
      <c r="M867" s="71"/>
      <c r="N867" s="71"/>
      <c r="O867" s="71"/>
      <c r="P867" s="71" t="str">
        <f>IFERROR(INDEX(RECICLADORES!C:C,MATCH(D867,RECICLADORES!B:B,0)),"")</f>
        <v/>
      </c>
      <c r="Q867" s="71" t="str">
        <f>IFERROR(INDEX(RECICLADORES!O:O,MATCH(D867,RECICLADORES!B:B,0)),"")</f>
        <v/>
      </c>
      <c r="R867" s="65"/>
      <c r="S867" s="65"/>
      <c r="T867" s="71"/>
      <c r="U867" s="71"/>
      <c r="V867" s="86"/>
    </row>
    <row r="868" spans="1:22" ht="16.5" thickTop="1" thickBot="1" x14ac:dyDescent="0.3">
      <c r="A868" s="35"/>
      <c r="C868" s="13"/>
      <c r="I868" s="23"/>
      <c r="J868" s="29" t="str">
        <f t="shared" si="11"/>
        <v/>
      </c>
      <c r="L868" s="71"/>
      <c r="M868" s="71"/>
      <c r="N868" s="71"/>
      <c r="O868" s="71"/>
      <c r="P868" s="71" t="str">
        <f>IFERROR(INDEX(RECICLADORES!C:C,MATCH(D868,RECICLADORES!B:B,0)),"")</f>
        <v/>
      </c>
      <c r="Q868" s="71" t="str">
        <f>IFERROR(INDEX(RECICLADORES!O:O,MATCH(D868,RECICLADORES!B:B,0)),"")</f>
        <v/>
      </c>
      <c r="R868" s="65"/>
      <c r="S868" s="65"/>
      <c r="T868" s="71"/>
      <c r="U868" s="71"/>
      <c r="V868" s="86"/>
    </row>
    <row r="869" spans="1:22" ht="16.5" thickTop="1" thickBot="1" x14ac:dyDescent="0.3">
      <c r="A869" s="34"/>
      <c r="C869" s="13"/>
      <c r="I869" s="23"/>
      <c r="J869" s="29" t="str">
        <f t="shared" si="11"/>
        <v/>
      </c>
      <c r="L869" s="71"/>
      <c r="M869" s="71"/>
      <c r="N869" s="71"/>
      <c r="O869" s="71"/>
      <c r="P869" s="71" t="str">
        <f>IFERROR(INDEX(RECICLADORES!C:C,MATCH(D869,RECICLADORES!B:B,0)),"")</f>
        <v/>
      </c>
      <c r="Q869" s="71" t="str">
        <f>IFERROR(INDEX(RECICLADORES!O:O,MATCH(D869,RECICLADORES!B:B,0)),"")</f>
        <v/>
      </c>
      <c r="R869" s="65"/>
      <c r="S869" s="65"/>
      <c r="T869" s="71"/>
      <c r="U869" s="71"/>
      <c r="V869" s="86"/>
    </row>
    <row r="870" spans="1:22" ht="16.5" thickTop="1" thickBot="1" x14ac:dyDescent="0.3">
      <c r="A870" s="35"/>
      <c r="C870" s="13"/>
      <c r="I870" s="23"/>
      <c r="J870" s="29" t="str">
        <f t="shared" si="11"/>
        <v/>
      </c>
      <c r="L870" s="71"/>
      <c r="M870" s="71"/>
      <c r="N870" s="71"/>
      <c r="O870" s="71"/>
      <c r="P870" s="71" t="str">
        <f>IFERROR(INDEX(RECICLADORES!C:C,MATCH(D870,RECICLADORES!B:B,0)),"")</f>
        <v/>
      </c>
      <c r="Q870" s="71" t="str">
        <f>IFERROR(INDEX(RECICLADORES!O:O,MATCH(D870,RECICLADORES!B:B,0)),"")</f>
        <v/>
      </c>
      <c r="R870" s="65"/>
      <c r="S870" s="65"/>
      <c r="T870" s="71"/>
      <c r="U870" s="71"/>
      <c r="V870" s="86"/>
    </row>
    <row r="871" spans="1:22" ht="16.5" thickTop="1" thickBot="1" x14ac:dyDescent="0.3">
      <c r="A871" s="34"/>
      <c r="C871" s="13"/>
      <c r="I871" s="23"/>
      <c r="J871" s="29" t="str">
        <f t="shared" si="11"/>
        <v/>
      </c>
      <c r="L871" s="71"/>
      <c r="M871" s="71"/>
      <c r="N871" s="71"/>
      <c r="O871" s="71"/>
      <c r="P871" s="71" t="str">
        <f>IFERROR(INDEX(RECICLADORES!C:C,MATCH(D871,RECICLADORES!B:B,0)),"")</f>
        <v/>
      </c>
      <c r="Q871" s="71" t="str">
        <f>IFERROR(INDEX(RECICLADORES!O:O,MATCH(D871,RECICLADORES!B:B,0)),"")</f>
        <v/>
      </c>
      <c r="R871" s="65"/>
      <c r="S871" s="65"/>
      <c r="T871" s="71"/>
      <c r="U871" s="71"/>
      <c r="V871" s="86"/>
    </row>
    <row r="872" spans="1:22" ht="16.5" thickTop="1" thickBot="1" x14ac:dyDescent="0.3">
      <c r="A872" s="35"/>
      <c r="C872" s="13"/>
      <c r="I872" s="23"/>
      <c r="J872" s="29" t="str">
        <f t="shared" si="11"/>
        <v/>
      </c>
      <c r="L872" s="71"/>
      <c r="M872" s="71"/>
      <c r="N872" s="71"/>
      <c r="O872" s="71"/>
      <c r="P872" s="71" t="str">
        <f>IFERROR(INDEX(RECICLADORES!C:C,MATCH(D872,RECICLADORES!B:B,0)),"")</f>
        <v/>
      </c>
      <c r="Q872" s="71" t="str">
        <f>IFERROR(INDEX(RECICLADORES!O:O,MATCH(D872,RECICLADORES!B:B,0)),"")</f>
        <v/>
      </c>
      <c r="R872" s="65"/>
      <c r="S872" s="65"/>
      <c r="T872" s="71"/>
      <c r="U872" s="71"/>
      <c r="V872" s="86"/>
    </row>
    <row r="873" spans="1:22" ht="16.5" thickTop="1" thickBot="1" x14ac:dyDescent="0.3">
      <c r="A873" s="34"/>
      <c r="C873" s="13"/>
      <c r="I873" s="23"/>
      <c r="J873" s="29" t="str">
        <f t="shared" si="11"/>
        <v/>
      </c>
      <c r="L873" s="71"/>
      <c r="M873" s="71"/>
      <c r="N873" s="71"/>
      <c r="O873" s="71"/>
      <c r="P873" s="71" t="str">
        <f>IFERROR(INDEX(RECICLADORES!C:C,MATCH(D873,RECICLADORES!B:B,0)),"")</f>
        <v/>
      </c>
      <c r="Q873" s="71" t="str">
        <f>IFERROR(INDEX(RECICLADORES!O:O,MATCH(D873,RECICLADORES!B:B,0)),"")</f>
        <v/>
      </c>
      <c r="R873" s="65"/>
      <c r="S873" s="65"/>
      <c r="T873" s="71"/>
      <c r="U873" s="71"/>
      <c r="V873" s="86"/>
    </row>
    <row r="874" spans="1:22" ht="16.5" thickTop="1" thickBot="1" x14ac:dyDescent="0.3">
      <c r="A874" s="35"/>
      <c r="C874" s="13"/>
      <c r="I874" s="23"/>
      <c r="J874" s="29" t="str">
        <f t="shared" si="11"/>
        <v/>
      </c>
      <c r="L874" s="71"/>
      <c r="M874" s="71"/>
      <c r="N874" s="71"/>
      <c r="O874" s="71"/>
      <c r="P874" s="71" t="str">
        <f>IFERROR(INDEX(RECICLADORES!C:C,MATCH(D874,RECICLADORES!B:B,0)),"")</f>
        <v/>
      </c>
      <c r="Q874" s="71" t="str">
        <f>IFERROR(INDEX(RECICLADORES!O:O,MATCH(D874,RECICLADORES!B:B,0)),"")</f>
        <v/>
      </c>
      <c r="R874" s="65"/>
      <c r="S874" s="65"/>
      <c r="T874" s="71"/>
      <c r="U874" s="71"/>
      <c r="V874" s="86"/>
    </row>
    <row r="875" spans="1:22" ht="16.5" thickTop="1" thickBot="1" x14ac:dyDescent="0.3">
      <c r="A875" s="34"/>
      <c r="C875" s="13"/>
      <c r="I875" s="23"/>
      <c r="J875" s="29" t="str">
        <f t="shared" ref="J875:J938" si="12">IF(C875="","",INT((DAY(C875)-1)/7)+1)</f>
        <v/>
      </c>
      <c r="L875" s="71"/>
      <c r="M875" s="71"/>
      <c r="N875" s="71"/>
      <c r="O875" s="71"/>
      <c r="P875" s="71" t="str">
        <f>IFERROR(INDEX(RECICLADORES!C:C,MATCH(D875,RECICLADORES!B:B,0)),"")</f>
        <v/>
      </c>
      <c r="Q875" s="71" t="str">
        <f>IFERROR(INDEX(RECICLADORES!O:O,MATCH(D875,RECICLADORES!B:B,0)),"")</f>
        <v/>
      </c>
      <c r="R875" s="65"/>
      <c r="S875" s="65"/>
      <c r="T875" s="71"/>
      <c r="U875" s="71"/>
      <c r="V875" s="86"/>
    </row>
    <row r="876" spans="1:22" ht="16.5" thickTop="1" thickBot="1" x14ac:dyDescent="0.3">
      <c r="A876" s="35"/>
      <c r="C876" s="13"/>
      <c r="I876" s="23"/>
      <c r="J876" s="29" t="str">
        <f t="shared" si="12"/>
        <v/>
      </c>
      <c r="L876" s="71"/>
      <c r="M876" s="71"/>
      <c r="N876" s="71"/>
      <c r="O876" s="71"/>
      <c r="P876" s="71" t="str">
        <f>IFERROR(INDEX(RECICLADORES!C:C,MATCH(D876,RECICLADORES!B:B,0)),"")</f>
        <v/>
      </c>
      <c r="Q876" s="71" t="str">
        <f>IFERROR(INDEX(RECICLADORES!O:O,MATCH(D876,RECICLADORES!B:B,0)),"")</f>
        <v/>
      </c>
      <c r="R876" s="65"/>
      <c r="S876" s="65"/>
      <c r="T876" s="71"/>
      <c r="U876" s="71"/>
      <c r="V876" s="86"/>
    </row>
    <row r="877" spans="1:22" ht="16.5" thickTop="1" thickBot="1" x14ac:dyDescent="0.3">
      <c r="A877" s="34"/>
      <c r="C877" s="13"/>
      <c r="I877" s="23"/>
      <c r="J877" s="29" t="str">
        <f t="shared" si="12"/>
        <v/>
      </c>
      <c r="L877" s="71"/>
      <c r="M877" s="71"/>
      <c r="N877" s="71"/>
      <c r="O877" s="71"/>
      <c r="P877" s="71" t="str">
        <f>IFERROR(INDEX(RECICLADORES!C:C,MATCH(D877,RECICLADORES!B:B,0)),"")</f>
        <v/>
      </c>
      <c r="Q877" s="71" t="str">
        <f>IFERROR(INDEX(RECICLADORES!O:O,MATCH(D877,RECICLADORES!B:B,0)),"")</f>
        <v/>
      </c>
      <c r="R877" s="65"/>
      <c r="S877" s="65"/>
      <c r="T877" s="71"/>
      <c r="U877" s="71"/>
      <c r="V877" s="86"/>
    </row>
    <row r="878" spans="1:22" ht="16.5" thickTop="1" thickBot="1" x14ac:dyDescent="0.3">
      <c r="A878" s="35"/>
      <c r="C878" s="13"/>
      <c r="I878" s="23"/>
      <c r="J878" s="29" t="str">
        <f t="shared" si="12"/>
        <v/>
      </c>
      <c r="L878" s="71"/>
      <c r="M878" s="71"/>
      <c r="N878" s="71"/>
      <c r="O878" s="71"/>
      <c r="P878" s="71" t="str">
        <f>IFERROR(INDEX(RECICLADORES!C:C,MATCH(D878,RECICLADORES!B:B,0)),"")</f>
        <v/>
      </c>
      <c r="Q878" s="71" t="str">
        <f>IFERROR(INDEX(RECICLADORES!O:O,MATCH(D878,RECICLADORES!B:B,0)),"")</f>
        <v/>
      </c>
      <c r="R878" s="65"/>
      <c r="S878" s="65"/>
      <c r="T878" s="71"/>
      <c r="U878" s="71"/>
      <c r="V878" s="86"/>
    </row>
    <row r="879" spans="1:22" ht="16.5" thickTop="1" thickBot="1" x14ac:dyDescent="0.3">
      <c r="A879" s="34"/>
      <c r="C879" s="13"/>
      <c r="I879" s="23"/>
      <c r="J879" s="29" t="str">
        <f t="shared" si="12"/>
        <v/>
      </c>
      <c r="L879" s="71"/>
      <c r="M879" s="71"/>
      <c r="N879" s="71"/>
      <c r="O879" s="71"/>
      <c r="P879" s="71" t="str">
        <f>IFERROR(INDEX(RECICLADORES!C:C,MATCH(D879,RECICLADORES!B:B,0)),"")</f>
        <v/>
      </c>
      <c r="Q879" s="71" t="str">
        <f>IFERROR(INDEX(RECICLADORES!O:O,MATCH(D879,RECICLADORES!B:B,0)),"")</f>
        <v/>
      </c>
      <c r="R879" s="65"/>
      <c r="S879" s="65"/>
      <c r="T879" s="71"/>
      <c r="U879" s="71"/>
      <c r="V879" s="86"/>
    </row>
    <row r="880" spans="1:22" ht="16.5" thickTop="1" thickBot="1" x14ac:dyDescent="0.3">
      <c r="A880" s="35"/>
      <c r="C880" s="13"/>
      <c r="I880" s="23"/>
      <c r="J880" s="29" t="str">
        <f t="shared" si="12"/>
        <v/>
      </c>
      <c r="L880" s="71"/>
      <c r="M880" s="71"/>
      <c r="N880" s="71"/>
      <c r="O880" s="71"/>
      <c r="P880" s="71" t="str">
        <f>IFERROR(INDEX(RECICLADORES!C:C,MATCH(D880,RECICLADORES!B:B,0)),"")</f>
        <v/>
      </c>
      <c r="Q880" s="71" t="str">
        <f>IFERROR(INDEX(RECICLADORES!O:O,MATCH(D880,RECICLADORES!B:B,0)),"")</f>
        <v/>
      </c>
      <c r="R880" s="65"/>
      <c r="S880" s="65"/>
      <c r="T880" s="71"/>
      <c r="U880" s="71"/>
      <c r="V880" s="86"/>
    </row>
    <row r="881" spans="1:22" ht="16.5" thickTop="1" thickBot="1" x14ac:dyDescent="0.3">
      <c r="A881" s="34"/>
      <c r="C881" s="13"/>
      <c r="I881" s="23"/>
      <c r="J881" s="29" t="str">
        <f t="shared" si="12"/>
        <v/>
      </c>
      <c r="L881" s="71"/>
      <c r="M881" s="71"/>
      <c r="N881" s="71"/>
      <c r="O881" s="71"/>
      <c r="P881" s="71" t="str">
        <f>IFERROR(INDEX(RECICLADORES!C:C,MATCH(D881,RECICLADORES!B:B,0)),"")</f>
        <v/>
      </c>
      <c r="Q881" s="71" t="str">
        <f>IFERROR(INDEX(RECICLADORES!O:O,MATCH(D881,RECICLADORES!B:B,0)),"")</f>
        <v/>
      </c>
      <c r="R881" s="65"/>
      <c r="S881" s="65"/>
      <c r="T881" s="71"/>
      <c r="U881" s="71"/>
      <c r="V881" s="86"/>
    </row>
    <row r="882" spans="1:22" ht="16.5" thickTop="1" thickBot="1" x14ac:dyDescent="0.3">
      <c r="A882" s="35"/>
      <c r="C882" s="13"/>
      <c r="I882" s="23"/>
      <c r="J882" s="29" t="str">
        <f t="shared" si="12"/>
        <v/>
      </c>
      <c r="L882" s="71"/>
      <c r="M882" s="71"/>
      <c r="N882" s="71"/>
      <c r="O882" s="71"/>
      <c r="P882" s="71" t="str">
        <f>IFERROR(INDEX(RECICLADORES!C:C,MATCH(D882,RECICLADORES!B:B,0)),"")</f>
        <v/>
      </c>
      <c r="Q882" s="71" t="str">
        <f>IFERROR(INDEX(RECICLADORES!O:O,MATCH(D882,RECICLADORES!B:B,0)),"")</f>
        <v/>
      </c>
      <c r="R882" s="65"/>
      <c r="S882" s="65"/>
      <c r="T882" s="71"/>
      <c r="U882" s="71"/>
      <c r="V882" s="86"/>
    </row>
    <row r="883" spans="1:22" ht="16.5" thickTop="1" thickBot="1" x14ac:dyDescent="0.3">
      <c r="A883" s="34"/>
      <c r="C883" s="13"/>
      <c r="I883" s="23"/>
      <c r="J883" s="29" t="str">
        <f t="shared" si="12"/>
        <v/>
      </c>
      <c r="L883" s="71"/>
      <c r="M883" s="71"/>
      <c r="N883" s="71"/>
      <c r="O883" s="71"/>
      <c r="P883" s="71" t="str">
        <f>IFERROR(INDEX(RECICLADORES!C:C,MATCH(D883,RECICLADORES!B:B,0)),"")</f>
        <v/>
      </c>
      <c r="Q883" s="71" t="str">
        <f>IFERROR(INDEX(RECICLADORES!O:O,MATCH(D883,RECICLADORES!B:B,0)),"")</f>
        <v/>
      </c>
      <c r="R883" s="65"/>
      <c r="S883" s="65"/>
      <c r="T883" s="71"/>
      <c r="U883" s="71"/>
      <c r="V883" s="86"/>
    </row>
    <row r="884" spans="1:22" ht="16.5" thickTop="1" thickBot="1" x14ac:dyDescent="0.3">
      <c r="A884" s="35"/>
      <c r="C884" s="13"/>
      <c r="I884" s="23"/>
      <c r="J884" s="29" t="str">
        <f t="shared" si="12"/>
        <v/>
      </c>
      <c r="L884" s="71"/>
      <c r="M884" s="71"/>
      <c r="N884" s="71"/>
      <c r="O884" s="71"/>
      <c r="P884" s="71" t="str">
        <f>IFERROR(INDEX(RECICLADORES!C:C,MATCH(D884,RECICLADORES!B:B,0)),"")</f>
        <v/>
      </c>
      <c r="Q884" s="71" t="str">
        <f>IFERROR(INDEX(RECICLADORES!O:O,MATCH(D884,RECICLADORES!B:B,0)),"")</f>
        <v/>
      </c>
      <c r="R884" s="65"/>
      <c r="S884" s="65"/>
      <c r="T884" s="71"/>
      <c r="U884" s="71"/>
      <c r="V884" s="86"/>
    </row>
    <row r="885" spans="1:22" ht="16.5" thickTop="1" thickBot="1" x14ac:dyDescent="0.3">
      <c r="A885" s="34"/>
      <c r="C885" s="13"/>
      <c r="I885" s="23"/>
      <c r="J885" s="29" t="str">
        <f t="shared" si="12"/>
        <v/>
      </c>
      <c r="L885" s="71"/>
      <c r="M885" s="71"/>
      <c r="N885" s="71"/>
      <c r="O885" s="71"/>
      <c r="P885" s="71" t="str">
        <f>IFERROR(INDEX(RECICLADORES!C:C,MATCH(D885,RECICLADORES!B:B,0)),"")</f>
        <v/>
      </c>
      <c r="Q885" s="71" t="str">
        <f>IFERROR(INDEX(RECICLADORES!O:O,MATCH(D885,RECICLADORES!B:B,0)),"")</f>
        <v/>
      </c>
      <c r="R885" s="65"/>
      <c r="S885" s="65"/>
      <c r="T885" s="71"/>
      <c r="U885" s="71"/>
      <c r="V885" s="86"/>
    </row>
    <row r="886" spans="1:22" ht="16.5" thickTop="1" thickBot="1" x14ac:dyDescent="0.3">
      <c r="A886" s="35"/>
      <c r="C886" s="13"/>
      <c r="I886" s="23"/>
      <c r="J886" s="29" t="str">
        <f t="shared" si="12"/>
        <v/>
      </c>
      <c r="L886" s="71"/>
      <c r="M886" s="71"/>
      <c r="N886" s="71"/>
      <c r="O886" s="71"/>
      <c r="P886" s="71" t="str">
        <f>IFERROR(INDEX(RECICLADORES!C:C,MATCH(D886,RECICLADORES!B:B,0)),"")</f>
        <v/>
      </c>
      <c r="Q886" s="71" t="str">
        <f>IFERROR(INDEX(RECICLADORES!O:O,MATCH(D886,RECICLADORES!B:B,0)),"")</f>
        <v/>
      </c>
      <c r="R886" s="65"/>
      <c r="S886" s="65"/>
      <c r="T886" s="71"/>
      <c r="U886" s="71"/>
      <c r="V886" s="86"/>
    </row>
    <row r="887" spans="1:22" ht="16.5" thickTop="1" thickBot="1" x14ac:dyDescent="0.3">
      <c r="A887" s="34"/>
      <c r="C887" s="13"/>
      <c r="I887" s="23"/>
      <c r="J887" s="29" t="str">
        <f t="shared" si="12"/>
        <v/>
      </c>
      <c r="L887" s="71"/>
      <c r="M887" s="71"/>
      <c r="N887" s="71"/>
      <c r="O887" s="71"/>
      <c r="P887" s="71" t="str">
        <f>IFERROR(INDEX(RECICLADORES!C:C,MATCH(D887,RECICLADORES!B:B,0)),"")</f>
        <v/>
      </c>
      <c r="Q887" s="71" t="str">
        <f>IFERROR(INDEX(RECICLADORES!O:O,MATCH(D887,RECICLADORES!B:B,0)),"")</f>
        <v/>
      </c>
      <c r="R887" s="65"/>
      <c r="S887" s="65"/>
      <c r="T887" s="71"/>
      <c r="U887" s="71"/>
      <c r="V887" s="86"/>
    </row>
    <row r="888" spans="1:22" ht="16.5" thickTop="1" thickBot="1" x14ac:dyDescent="0.3">
      <c r="A888" s="35"/>
      <c r="C888" s="13"/>
      <c r="I888" s="23"/>
      <c r="J888" s="29" t="str">
        <f t="shared" si="12"/>
        <v/>
      </c>
      <c r="L888" s="71"/>
      <c r="M888" s="71"/>
      <c r="N888" s="71"/>
      <c r="O888" s="71"/>
      <c r="P888" s="71" t="str">
        <f>IFERROR(INDEX(RECICLADORES!C:C,MATCH(D888,RECICLADORES!B:B,0)),"")</f>
        <v/>
      </c>
      <c r="Q888" s="71" t="str">
        <f>IFERROR(INDEX(RECICLADORES!O:O,MATCH(D888,RECICLADORES!B:B,0)),"")</f>
        <v/>
      </c>
      <c r="R888" s="65"/>
      <c r="S888" s="65"/>
      <c r="T888" s="71"/>
      <c r="U888" s="71"/>
      <c r="V888" s="86"/>
    </row>
    <row r="889" spans="1:22" ht="16.5" thickTop="1" thickBot="1" x14ac:dyDescent="0.3">
      <c r="A889" s="35"/>
      <c r="C889" s="13"/>
      <c r="I889" s="23"/>
      <c r="J889" s="29" t="str">
        <f t="shared" si="12"/>
        <v/>
      </c>
      <c r="L889" s="71"/>
      <c r="M889" s="71"/>
      <c r="N889" s="71"/>
      <c r="O889" s="71"/>
      <c r="P889" s="71" t="str">
        <f>IFERROR(INDEX(RECICLADORES!C:C,MATCH(D889,RECICLADORES!B:B,0)),"")</f>
        <v/>
      </c>
      <c r="Q889" s="71" t="str">
        <f>IFERROR(INDEX(RECICLADORES!O:O,MATCH(D889,RECICLADORES!B:B,0)),"")</f>
        <v/>
      </c>
      <c r="R889" s="65"/>
      <c r="S889" s="65"/>
      <c r="T889" s="71"/>
      <c r="U889" s="71"/>
      <c r="V889" s="86"/>
    </row>
    <row r="890" spans="1:22" ht="16.5" thickTop="1" thickBot="1" x14ac:dyDescent="0.3">
      <c r="A890" s="34"/>
      <c r="C890" s="13"/>
      <c r="I890" s="23"/>
      <c r="J890" s="29" t="str">
        <f t="shared" si="12"/>
        <v/>
      </c>
      <c r="L890" s="71"/>
      <c r="M890" s="71"/>
      <c r="N890" s="71"/>
      <c r="O890" s="71"/>
      <c r="P890" s="71" t="str">
        <f>IFERROR(INDEX(RECICLADORES!C:C,MATCH(D890,RECICLADORES!B:B,0)),"")</f>
        <v/>
      </c>
      <c r="Q890" s="71" t="str">
        <f>IFERROR(INDEX(RECICLADORES!O:O,MATCH(D890,RECICLADORES!B:B,0)),"")</f>
        <v/>
      </c>
      <c r="R890" s="65"/>
      <c r="S890" s="65"/>
      <c r="T890" s="71"/>
      <c r="U890" s="71"/>
      <c r="V890" s="86"/>
    </row>
    <row r="891" spans="1:22" ht="16.5" thickTop="1" thickBot="1" x14ac:dyDescent="0.3">
      <c r="A891" s="35"/>
      <c r="C891" s="13"/>
      <c r="I891" s="23"/>
      <c r="J891" s="29" t="str">
        <f t="shared" si="12"/>
        <v/>
      </c>
      <c r="L891" s="71"/>
      <c r="M891" s="71"/>
      <c r="N891" s="71"/>
      <c r="O891" s="71"/>
      <c r="P891" s="71" t="str">
        <f>IFERROR(INDEX(RECICLADORES!C:C,MATCH(D891,RECICLADORES!B:B,0)),"")</f>
        <v/>
      </c>
      <c r="Q891" s="71" t="str">
        <f>IFERROR(INDEX(RECICLADORES!O:O,MATCH(D891,RECICLADORES!B:B,0)),"")</f>
        <v/>
      </c>
      <c r="R891" s="65"/>
      <c r="S891" s="65"/>
      <c r="T891" s="71"/>
      <c r="U891" s="71"/>
      <c r="V891" s="86"/>
    </row>
    <row r="892" spans="1:22" ht="16.5" thickTop="1" thickBot="1" x14ac:dyDescent="0.3">
      <c r="A892" s="34"/>
      <c r="C892" s="13"/>
      <c r="I892" s="23"/>
      <c r="J892" s="29" t="str">
        <f t="shared" si="12"/>
        <v/>
      </c>
      <c r="L892" s="71"/>
      <c r="M892" s="71"/>
      <c r="N892" s="71"/>
      <c r="O892" s="71"/>
      <c r="P892" s="71" t="str">
        <f>IFERROR(INDEX(RECICLADORES!C:C,MATCH(D892,RECICLADORES!B:B,0)),"")</f>
        <v/>
      </c>
      <c r="Q892" s="71" t="str">
        <f>IFERROR(INDEX(RECICLADORES!O:O,MATCH(D892,RECICLADORES!B:B,0)),"")</f>
        <v/>
      </c>
      <c r="R892" s="65"/>
      <c r="S892" s="65"/>
      <c r="T892" s="71"/>
      <c r="U892" s="71"/>
      <c r="V892" s="86"/>
    </row>
    <row r="893" spans="1:22" ht="16.5" thickTop="1" thickBot="1" x14ac:dyDescent="0.3">
      <c r="A893" s="35"/>
      <c r="C893" s="13"/>
      <c r="I893" s="23"/>
      <c r="J893" s="29" t="str">
        <f t="shared" si="12"/>
        <v/>
      </c>
      <c r="L893" s="71"/>
      <c r="M893" s="71"/>
      <c r="N893" s="71"/>
      <c r="O893" s="71"/>
      <c r="P893" s="71" t="str">
        <f>IFERROR(INDEX(RECICLADORES!C:C,MATCH(D893,RECICLADORES!B:B,0)),"")</f>
        <v/>
      </c>
      <c r="Q893" s="71" t="str">
        <f>IFERROR(INDEX(RECICLADORES!O:O,MATCH(D893,RECICLADORES!B:B,0)),"")</f>
        <v/>
      </c>
      <c r="R893" s="65"/>
      <c r="S893" s="65"/>
      <c r="T893" s="71"/>
      <c r="U893" s="71"/>
      <c r="V893" s="86"/>
    </row>
    <row r="894" spans="1:22" ht="16.5" thickTop="1" thickBot="1" x14ac:dyDescent="0.3">
      <c r="A894" s="34"/>
      <c r="C894" s="13"/>
      <c r="I894" s="23"/>
      <c r="J894" s="29" t="str">
        <f t="shared" si="12"/>
        <v/>
      </c>
      <c r="L894" s="71"/>
      <c r="M894" s="71"/>
      <c r="N894" s="71"/>
      <c r="O894" s="71"/>
      <c r="P894" s="71" t="str">
        <f>IFERROR(INDEX(RECICLADORES!C:C,MATCH(D894,RECICLADORES!B:B,0)),"")</f>
        <v/>
      </c>
      <c r="Q894" s="71" t="str">
        <f>IFERROR(INDEX(RECICLADORES!O:O,MATCH(D894,RECICLADORES!B:B,0)),"")</f>
        <v/>
      </c>
      <c r="R894" s="65"/>
      <c r="S894" s="65"/>
      <c r="T894" s="71"/>
      <c r="U894" s="71"/>
      <c r="V894" s="86"/>
    </row>
    <row r="895" spans="1:22" ht="16.5" thickTop="1" thickBot="1" x14ac:dyDescent="0.3">
      <c r="A895" s="35"/>
      <c r="C895" s="13"/>
      <c r="I895" s="23"/>
      <c r="J895" s="29" t="str">
        <f t="shared" si="12"/>
        <v/>
      </c>
      <c r="L895" s="71"/>
      <c r="M895" s="71"/>
      <c r="N895" s="71"/>
      <c r="O895" s="71"/>
      <c r="P895" s="71" t="str">
        <f>IFERROR(INDEX(RECICLADORES!C:C,MATCH(D895,RECICLADORES!B:B,0)),"")</f>
        <v/>
      </c>
      <c r="Q895" s="71" t="str">
        <f>IFERROR(INDEX(RECICLADORES!O:O,MATCH(D895,RECICLADORES!B:B,0)),"")</f>
        <v/>
      </c>
      <c r="R895" s="65"/>
      <c r="S895" s="65"/>
      <c r="T895" s="71"/>
      <c r="U895" s="71"/>
      <c r="V895" s="86"/>
    </row>
    <row r="896" spans="1:22" ht="16.5" thickTop="1" thickBot="1" x14ac:dyDescent="0.3">
      <c r="A896" s="34"/>
      <c r="C896" s="13"/>
      <c r="I896" s="23"/>
      <c r="J896" s="29" t="str">
        <f t="shared" si="12"/>
        <v/>
      </c>
      <c r="L896" s="71"/>
      <c r="M896" s="71"/>
      <c r="N896" s="71"/>
      <c r="O896" s="71"/>
      <c r="P896" s="71" t="str">
        <f>IFERROR(INDEX(RECICLADORES!C:C,MATCH(D896,RECICLADORES!B:B,0)),"")</f>
        <v/>
      </c>
      <c r="Q896" s="71" t="str">
        <f>IFERROR(INDEX(RECICLADORES!O:O,MATCH(D896,RECICLADORES!B:B,0)),"")</f>
        <v/>
      </c>
      <c r="R896" s="65"/>
      <c r="S896" s="65"/>
      <c r="T896" s="71"/>
      <c r="U896" s="71"/>
      <c r="V896" s="86"/>
    </row>
    <row r="897" spans="1:22" ht="16.5" thickTop="1" thickBot="1" x14ac:dyDescent="0.3">
      <c r="A897" s="35"/>
      <c r="C897" s="13"/>
      <c r="I897" s="23"/>
      <c r="J897" s="29" t="str">
        <f t="shared" si="12"/>
        <v/>
      </c>
      <c r="L897" s="71"/>
      <c r="M897" s="71"/>
      <c r="N897" s="71"/>
      <c r="O897" s="71"/>
      <c r="P897" s="71" t="str">
        <f>IFERROR(INDEX(RECICLADORES!C:C,MATCH(D897,RECICLADORES!B:B,0)),"")</f>
        <v/>
      </c>
      <c r="Q897" s="71" t="str">
        <f>IFERROR(INDEX(RECICLADORES!O:O,MATCH(D897,RECICLADORES!B:B,0)),"")</f>
        <v/>
      </c>
      <c r="R897" s="65"/>
      <c r="S897" s="65"/>
      <c r="T897" s="71"/>
      <c r="U897" s="71"/>
      <c r="V897" s="86"/>
    </row>
    <row r="898" spans="1:22" ht="16.5" thickTop="1" thickBot="1" x14ac:dyDescent="0.3">
      <c r="A898" s="34"/>
      <c r="C898" s="13"/>
      <c r="I898" s="23"/>
      <c r="J898" s="29" t="str">
        <f t="shared" si="12"/>
        <v/>
      </c>
      <c r="L898" s="71"/>
      <c r="M898" s="71"/>
      <c r="N898" s="71"/>
      <c r="O898" s="71"/>
      <c r="P898" s="71" t="str">
        <f>IFERROR(INDEX(RECICLADORES!C:C,MATCH(D898,RECICLADORES!B:B,0)),"")</f>
        <v/>
      </c>
      <c r="Q898" s="71" t="str">
        <f>IFERROR(INDEX(RECICLADORES!O:O,MATCH(D898,RECICLADORES!B:B,0)),"")</f>
        <v/>
      </c>
      <c r="R898" s="65"/>
      <c r="S898" s="65"/>
      <c r="T898" s="71"/>
      <c r="U898" s="71"/>
      <c r="V898" s="86"/>
    </row>
    <row r="899" spans="1:22" ht="16.5" thickTop="1" thickBot="1" x14ac:dyDescent="0.3">
      <c r="A899" s="35"/>
      <c r="C899" s="13"/>
      <c r="I899" s="23"/>
      <c r="J899" s="29" t="str">
        <f t="shared" si="12"/>
        <v/>
      </c>
      <c r="L899" s="71"/>
      <c r="M899" s="71"/>
      <c r="N899" s="71"/>
      <c r="O899" s="71"/>
      <c r="P899" s="71" t="str">
        <f>IFERROR(INDEX(RECICLADORES!C:C,MATCH(D899,RECICLADORES!B:B,0)),"")</f>
        <v/>
      </c>
      <c r="Q899" s="71" t="str">
        <f>IFERROR(INDEX(RECICLADORES!O:O,MATCH(D899,RECICLADORES!B:B,0)),"")</f>
        <v/>
      </c>
      <c r="R899" s="65"/>
      <c r="S899" s="65"/>
      <c r="T899" s="71"/>
      <c r="U899" s="71"/>
      <c r="V899" s="86"/>
    </row>
    <row r="900" spans="1:22" ht="16.5" thickTop="1" thickBot="1" x14ac:dyDescent="0.3">
      <c r="A900" s="34"/>
      <c r="C900" s="13"/>
      <c r="I900" s="23"/>
      <c r="J900" s="29" t="str">
        <f t="shared" si="12"/>
        <v/>
      </c>
      <c r="L900" s="71"/>
      <c r="M900" s="71"/>
      <c r="N900" s="71"/>
      <c r="O900" s="71"/>
      <c r="P900" s="71" t="str">
        <f>IFERROR(INDEX(RECICLADORES!C:C,MATCH(D900,RECICLADORES!B:B,0)),"")</f>
        <v/>
      </c>
      <c r="Q900" s="71" t="str">
        <f>IFERROR(INDEX(RECICLADORES!O:O,MATCH(D900,RECICLADORES!B:B,0)),"")</f>
        <v/>
      </c>
      <c r="R900" s="65"/>
      <c r="S900" s="65"/>
      <c r="T900" s="71"/>
      <c r="U900" s="71"/>
      <c r="V900" s="86"/>
    </row>
    <row r="901" spans="1:22" ht="16.5" thickTop="1" thickBot="1" x14ac:dyDescent="0.3">
      <c r="A901" s="35"/>
      <c r="C901" s="13"/>
      <c r="I901" s="23"/>
      <c r="J901" s="29" t="str">
        <f t="shared" si="12"/>
        <v/>
      </c>
      <c r="L901" s="71"/>
      <c r="M901" s="71"/>
      <c r="N901" s="71"/>
      <c r="O901" s="71"/>
      <c r="P901" s="71" t="str">
        <f>IFERROR(INDEX(RECICLADORES!C:C,MATCH(D901,RECICLADORES!B:B,0)),"")</f>
        <v/>
      </c>
      <c r="Q901" s="71" t="str">
        <f>IFERROR(INDEX(RECICLADORES!O:O,MATCH(D901,RECICLADORES!B:B,0)),"")</f>
        <v/>
      </c>
      <c r="R901" s="65"/>
      <c r="S901" s="65"/>
      <c r="T901" s="71"/>
      <c r="U901" s="71"/>
      <c r="V901" s="86"/>
    </row>
    <row r="902" spans="1:22" ht="16.5" thickTop="1" thickBot="1" x14ac:dyDescent="0.3">
      <c r="A902" s="34"/>
      <c r="C902" s="13"/>
      <c r="I902" s="23"/>
      <c r="J902" s="29" t="str">
        <f t="shared" si="12"/>
        <v/>
      </c>
      <c r="L902" s="71"/>
      <c r="M902" s="71"/>
      <c r="N902" s="71"/>
      <c r="O902" s="71"/>
      <c r="P902" s="71" t="str">
        <f>IFERROR(INDEX(RECICLADORES!C:C,MATCH(D902,RECICLADORES!B:B,0)),"")</f>
        <v/>
      </c>
      <c r="Q902" s="71" t="str">
        <f>IFERROR(INDEX(RECICLADORES!O:O,MATCH(D902,RECICLADORES!B:B,0)),"")</f>
        <v/>
      </c>
      <c r="R902" s="65"/>
      <c r="S902" s="65"/>
      <c r="T902" s="71"/>
      <c r="U902" s="71"/>
      <c r="V902" s="86"/>
    </row>
    <row r="903" spans="1:22" ht="16.5" thickTop="1" thickBot="1" x14ac:dyDescent="0.3">
      <c r="A903" s="35"/>
      <c r="C903" s="13"/>
      <c r="I903" s="23"/>
      <c r="J903" s="29" t="str">
        <f t="shared" si="12"/>
        <v/>
      </c>
      <c r="L903" s="71"/>
      <c r="M903" s="71"/>
      <c r="N903" s="71"/>
      <c r="O903" s="71"/>
      <c r="P903" s="71" t="str">
        <f>IFERROR(INDEX(RECICLADORES!C:C,MATCH(D903,RECICLADORES!B:B,0)),"")</f>
        <v/>
      </c>
      <c r="Q903" s="71" t="str">
        <f>IFERROR(INDEX(RECICLADORES!O:O,MATCH(D903,RECICLADORES!B:B,0)),"")</f>
        <v/>
      </c>
      <c r="R903" s="65"/>
      <c r="S903" s="65"/>
      <c r="T903" s="71"/>
      <c r="U903" s="71"/>
      <c r="V903" s="86"/>
    </row>
    <row r="904" spans="1:22" ht="16.5" thickTop="1" thickBot="1" x14ac:dyDescent="0.3">
      <c r="A904" s="34"/>
      <c r="C904" s="13"/>
      <c r="I904" s="23"/>
      <c r="J904" s="29" t="str">
        <f t="shared" si="12"/>
        <v/>
      </c>
      <c r="L904" s="71"/>
      <c r="M904" s="71"/>
      <c r="N904" s="71"/>
      <c r="O904" s="71"/>
      <c r="P904" s="71" t="str">
        <f>IFERROR(INDEX(RECICLADORES!C:C,MATCH(D904,RECICLADORES!B:B,0)),"")</f>
        <v/>
      </c>
      <c r="Q904" s="71" t="str">
        <f>IFERROR(INDEX(RECICLADORES!O:O,MATCH(D904,RECICLADORES!B:B,0)),"")</f>
        <v/>
      </c>
      <c r="R904" s="65"/>
      <c r="S904" s="65"/>
      <c r="T904" s="71"/>
      <c r="U904" s="71"/>
      <c r="V904" s="86"/>
    </row>
    <row r="905" spans="1:22" ht="16.5" thickTop="1" thickBot="1" x14ac:dyDescent="0.3">
      <c r="A905" s="35"/>
      <c r="C905" s="13"/>
      <c r="I905" s="23"/>
      <c r="J905" s="29" t="str">
        <f t="shared" si="12"/>
        <v/>
      </c>
      <c r="L905" s="71"/>
      <c r="M905" s="71"/>
      <c r="N905" s="71"/>
      <c r="O905" s="71"/>
      <c r="P905" s="71" t="str">
        <f>IFERROR(INDEX(RECICLADORES!C:C,MATCH(D905,RECICLADORES!B:B,0)),"")</f>
        <v/>
      </c>
      <c r="Q905" s="71" t="str">
        <f>IFERROR(INDEX(RECICLADORES!O:O,MATCH(D905,RECICLADORES!B:B,0)),"")</f>
        <v/>
      </c>
      <c r="R905" s="65"/>
      <c r="S905" s="65"/>
      <c r="T905" s="71"/>
      <c r="U905" s="71"/>
      <c r="V905" s="86"/>
    </row>
    <row r="906" spans="1:22" ht="16.5" thickTop="1" thickBot="1" x14ac:dyDescent="0.3">
      <c r="A906" s="34"/>
      <c r="C906" s="13"/>
      <c r="I906" s="23"/>
      <c r="J906" s="29" t="str">
        <f t="shared" si="12"/>
        <v/>
      </c>
      <c r="L906" s="71"/>
      <c r="M906" s="71"/>
      <c r="N906" s="71"/>
      <c r="O906" s="71"/>
      <c r="P906" s="71" t="str">
        <f>IFERROR(INDEX(RECICLADORES!C:C,MATCH(D906,RECICLADORES!B:B,0)),"")</f>
        <v/>
      </c>
      <c r="Q906" s="71" t="str">
        <f>IFERROR(INDEX(RECICLADORES!O:O,MATCH(D906,RECICLADORES!B:B,0)),"")</f>
        <v/>
      </c>
      <c r="R906" s="65"/>
      <c r="S906" s="65"/>
      <c r="T906" s="71"/>
      <c r="U906" s="71"/>
      <c r="V906" s="86"/>
    </row>
    <row r="907" spans="1:22" ht="16.5" thickTop="1" thickBot="1" x14ac:dyDescent="0.3">
      <c r="A907" s="35"/>
      <c r="C907" s="13"/>
      <c r="I907" s="23"/>
      <c r="J907" s="29" t="str">
        <f t="shared" si="12"/>
        <v/>
      </c>
      <c r="L907" s="71"/>
      <c r="M907" s="71"/>
      <c r="N907" s="71"/>
      <c r="O907" s="71"/>
      <c r="P907" s="71" t="str">
        <f>IFERROR(INDEX(RECICLADORES!C:C,MATCH(D907,RECICLADORES!B:B,0)),"")</f>
        <v/>
      </c>
      <c r="Q907" s="71" t="str">
        <f>IFERROR(INDEX(RECICLADORES!O:O,MATCH(D907,RECICLADORES!B:B,0)),"")</f>
        <v/>
      </c>
      <c r="R907" s="65"/>
      <c r="S907" s="65"/>
      <c r="T907" s="71"/>
      <c r="U907" s="71"/>
      <c r="V907" s="86"/>
    </row>
    <row r="908" spans="1:22" ht="16.5" thickTop="1" thickBot="1" x14ac:dyDescent="0.3">
      <c r="A908" s="34"/>
      <c r="C908" s="13"/>
      <c r="I908" s="23"/>
      <c r="J908" s="29" t="str">
        <f t="shared" si="12"/>
        <v/>
      </c>
      <c r="L908" s="71"/>
      <c r="M908" s="71"/>
      <c r="N908" s="71"/>
      <c r="O908" s="71"/>
      <c r="P908" s="71" t="str">
        <f>IFERROR(INDEX(RECICLADORES!C:C,MATCH(D908,RECICLADORES!B:B,0)),"")</f>
        <v/>
      </c>
      <c r="Q908" s="71" t="str">
        <f>IFERROR(INDEX(RECICLADORES!O:O,MATCH(D908,RECICLADORES!B:B,0)),"")</f>
        <v/>
      </c>
      <c r="R908" s="65"/>
      <c r="S908" s="65"/>
      <c r="T908" s="71"/>
      <c r="U908" s="71"/>
      <c r="V908" s="86"/>
    </row>
    <row r="909" spans="1:22" ht="16.5" thickTop="1" thickBot="1" x14ac:dyDescent="0.3">
      <c r="A909" s="35"/>
      <c r="C909" s="13"/>
      <c r="I909" s="23"/>
      <c r="J909" s="29" t="str">
        <f t="shared" si="12"/>
        <v/>
      </c>
      <c r="L909" s="71"/>
      <c r="M909" s="71"/>
      <c r="N909" s="71"/>
      <c r="O909" s="71"/>
      <c r="P909" s="71" t="str">
        <f>IFERROR(INDEX(RECICLADORES!C:C,MATCH(D909,RECICLADORES!B:B,0)),"")</f>
        <v/>
      </c>
      <c r="Q909" s="71" t="str">
        <f>IFERROR(INDEX(RECICLADORES!O:O,MATCH(D909,RECICLADORES!B:B,0)),"")</f>
        <v/>
      </c>
      <c r="R909" s="65"/>
      <c r="S909" s="65"/>
      <c r="T909" s="71"/>
      <c r="U909" s="71"/>
      <c r="V909" s="86"/>
    </row>
    <row r="910" spans="1:22" ht="16.5" thickTop="1" thickBot="1" x14ac:dyDescent="0.3">
      <c r="A910" s="34"/>
      <c r="C910" s="13"/>
      <c r="I910" s="23"/>
      <c r="J910" s="29" t="str">
        <f t="shared" si="12"/>
        <v/>
      </c>
      <c r="L910" s="71"/>
      <c r="M910" s="71"/>
      <c r="N910" s="71"/>
      <c r="O910" s="71"/>
      <c r="P910" s="71" t="str">
        <f>IFERROR(INDEX(RECICLADORES!C:C,MATCH(D910,RECICLADORES!B:B,0)),"")</f>
        <v/>
      </c>
      <c r="Q910" s="71" t="str">
        <f>IFERROR(INDEX(RECICLADORES!O:O,MATCH(D910,RECICLADORES!B:B,0)),"")</f>
        <v/>
      </c>
      <c r="R910" s="65"/>
      <c r="S910" s="65"/>
      <c r="T910" s="71"/>
      <c r="U910" s="71"/>
      <c r="V910" s="86"/>
    </row>
    <row r="911" spans="1:22" ht="16.5" thickTop="1" thickBot="1" x14ac:dyDescent="0.3">
      <c r="A911" s="35"/>
      <c r="C911" s="13"/>
      <c r="I911" s="23"/>
      <c r="J911" s="29" t="str">
        <f t="shared" si="12"/>
        <v/>
      </c>
      <c r="L911" s="71"/>
      <c r="M911" s="71"/>
      <c r="N911" s="71"/>
      <c r="O911" s="71"/>
      <c r="P911" s="71" t="str">
        <f>IFERROR(INDEX(RECICLADORES!C:C,MATCH(D911,RECICLADORES!B:B,0)),"")</f>
        <v/>
      </c>
      <c r="Q911" s="71" t="str">
        <f>IFERROR(INDEX(RECICLADORES!O:O,MATCH(D911,RECICLADORES!B:B,0)),"")</f>
        <v/>
      </c>
      <c r="R911" s="65"/>
      <c r="S911" s="65"/>
      <c r="T911" s="71"/>
      <c r="U911" s="71"/>
      <c r="V911" s="86"/>
    </row>
    <row r="912" spans="1:22" ht="16.5" thickTop="1" thickBot="1" x14ac:dyDescent="0.3">
      <c r="A912" s="34"/>
      <c r="C912" s="13"/>
      <c r="I912" s="23"/>
      <c r="J912" s="29" t="str">
        <f t="shared" si="12"/>
        <v/>
      </c>
      <c r="L912" s="71"/>
      <c r="M912" s="71"/>
      <c r="N912" s="71"/>
      <c r="O912" s="71"/>
      <c r="P912" s="71" t="str">
        <f>IFERROR(INDEX(RECICLADORES!C:C,MATCH(D912,RECICLADORES!B:B,0)),"")</f>
        <v/>
      </c>
      <c r="Q912" s="71" t="str">
        <f>IFERROR(INDEX(RECICLADORES!O:O,MATCH(D912,RECICLADORES!B:B,0)),"")</f>
        <v/>
      </c>
      <c r="R912" s="65"/>
      <c r="S912" s="65"/>
      <c r="T912" s="71"/>
      <c r="U912" s="71"/>
      <c r="V912" s="86"/>
    </row>
    <row r="913" spans="1:22" ht="16.5" thickTop="1" thickBot="1" x14ac:dyDescent="0.3">
      <c r="A913" s="35"/>
      <c r="C913" s="13"/>
      <c r="I913" s="23"/>
      <c r="J913" s="29" t="str">
        <f t="shared" si="12"/>
        <v/>
      </c>
      <c r="L913" s="71"/>
      <c r="M913" s="71"/>
      <c r="N913" s="71"/>
      <c r="O913" s="71"/>
      <c r="P913" s="71" t="str">
        <f>IFERROR(INDEX(RECICLADORES!C:C,MATCH(D913,RECICLADORES!B:B,0)),"")</f>
        <v/>
      </c>
      <c r="Q913" s="71" t="str">
        <f>IFERROR(INDEX(RECICLADORES!O:O,MATCH(D913,RECICLADORES!B:B,0)),"")</f>
        <v/>
      </c>
      <c r="R913" s="65"/>
      <c r="S913" s="65"/>
      <c r="T913" s="71"/>
      <c r="U913" s="71"/>
      <c r="V913" s="86"/>
    </row>
    <row r="914" spans="1:22" ht="16.5" thickTop="1" thickBot="1" x14ac:dyDescent="0.3">
      <c r="A914" s="34"/>
      <c r="C914" s="13"/>
      <c r="I914" s="23"/>
      <c r="J914" s="29" t="str">
        <f t="shared" si="12"/>
        <v/>
      </c>
      <c r="L914" s="71"/>
      <c r="M914" s="71"/>
      <c r="N914" s="71"/>
      <c r="O914" s="71"/>
      <c r="P914" s="71" t="str">
        <f>IFERROR(INDEX(RECICLADORES!C:C,MATCH(D914,RECICLADORES!B:B,0)),"")</f>
        <v/>
      </c>
      <c r="Q914" s="71" t="str">
        <f>IFERROR(INDEX(RECICLADORES!O:O,MATCH(D914,RECICLADORES!B:B,0)),"")</f>
        <v/>
      </c>
      <c r="R914" s="65"/>
      <c r="S914" s="65"/>
      <c r="T914" s="71"/>
      <c r="U914" s="71"/>
      <c r="V914" s="86"/>
    </row>
    <row r="915" spans="1:22" ht="16.5" thickTop="1" thickBot="1" x14ac:dyDescent="0.3">
      <c r="A915" s="35"/>
      <c r="C915" s="13"/>
      <c r="I915" s="23"/>
      <c r="J915" s="29" t="str">
        <f t="shared" si="12"/>
        <v/>
      </c>
      <c r="L915" s="71"/>
      <c r="M915" s="71"/>
      <c r="N915" s="71"/>
      <c r="O915" s="71"/>
      <c r="P915" s="71" t="str">
        <f>IFERROR(INDEX(RECICLADORES!C:C,MATCH(D915,RECICLADORES!B:B,0)),"")</f>
        <v/>
      </c>
      <c r="Q915" s="71" t="str">
        <f>IFERROR(INDEX(RECICLADORES!O:O,MATCH(D915,RECICLADORES!B:B,0)),"")</f>
        <v/>
      </c>
      <c r="R915" s="65"/>
      <c r="S915" s="65"/>
      <c r="T915" s="71"/>
      <c r="U915" s="71"/>
      <c r="V915" s="86"/>
    </row>
    <row r="916" spans="1:22" ht="16.5" thickTop="1" thickBot="1" x14ac:dyDescent="0.3">
      <c r="A916" s="34"/>
      <c r="C916" s="13"/>
      <c r="I916" s="23"/>
      <c r="J916" s="29" t="str">
        <f t="shared" si="12"/>
        <v/>
      </c>
      <c r="L916" s="71"/>
      <c r="M916" s="71"/>
      <c r="N916" s="71"/>
      <c r="O916" s="71"/>
      <c r="P916" s="71" t="str">
        <f>IFERROR(INDEX(RECICLADORES!C:C,MATCH(D916,RECICLADORES!B:B,0)),"")</f>
        <v/>
      </c>
      <c r="Q916" s="71" t="str">
        <f>IFERROR(INDEX(RECICLADORES!O:O,MATCH(D916,RECICLADORES!B:B,0)),"")</f>
        <v/>
      </c>
      <c r="R916" s="65"/>
      <c r="S916" s="65"/>
      <c r="T916" s="71"/>
      <c r="U916" s="71"/>
      <c r="V916" s="86"/>
    </row>
    <row r="917" spans="1:22" ht="16.5" thickTop="1" thickBot="1" x14ac:dyDescent="0.3">
      <c r="A917" s="35"/>
      <c r="C917" s="13"/>
      <c r="I917" s="23"/>
      <c r="J917" s="29" t="str">
        <f t="shared" si="12"/>
        <v/>
      </c>
      <c r="L917" s="71"/>
      <c r="M917" s="71"/>
      <c r="N917" s="71"/>
      <c r="O917" s="71"/>
      <c r="P917" s="71" t="str">
        <f>IFERROR(INDEX(RECICLADORES!C:C,MATCH(D917,RECICLADORES!B:B,0)),"")</f>
        <v/>
      </c>
      <c r="Q917" s="71" t="str">
        <f>IFERROR(INDEX(RECICLADORES!O:O,MATCH(D917,RECICLADORES!B:B,0)),"")</f>
        <v/>
      </c>
      <c r="R917" s="65"/>
      <c r="S917" s="65"/>
      <c r="T917" s="71"/>
      <c r="U917" s="71"/>
      <c r="V917" s="86"/>
    </row>
    <row r="918" spans="1:22" ht="16.5" thickTop="1" thickBot="1" x14ac:dyDescent="0.3">
      <c r="A918" s="35"/>
      <c r="C918" s="13"/>
      <c r="I918" s="23"/>
      <c r="J918" s="29" t="str">
        <f t="shared" si="12"/>
        <v/>
      </c>
      <c r="L918" s="71"/>
      <c r="M918" s="71"/>
      <c r="N918" s="71"/>
      <c r="O918" s="71"/>
      <c r="P918" s="71" t="str">
        <f>IFERROR(INDEX(RECICLADORES!C:C,MATCH(D918,RECICLADORES!B:B,0)),"")</f>
        <v/>
      </c>
      <c r="Q918" s="71" t="str">
        <f>IFERROR(INDEX(RECICLADORES!O:O,MATCH(D918,RECICLADORES!B:B,0)),"")</f>
        <v/>
      </c>
      <c r="R918" s="65"/>
      <c r="S918" s="65"/>
      <c r="T918" s="71"/>
      <c r="U918" s="71"/>
      <c r="V918" s="86"/>
    </row>
    <row r="919" spans="1:22" ht="16.5" thickTop="1" thickBot="1" x14ac:dyDescent="0.3">
      <c r="A919" s="34"/>
      <c r="C919" s="13"/>
      <c r="I919" s="23"/>
      <c r="J919" s="29" t="str">
        <f t="shared" si="12"/>
        <v/>
      </c>
      <c r="L919" s="71"/>
      <c r="M919" s="71"/>
      <c r="N919" s="71"/>
      <c r="O919" s="71"/>
      <c r="P919" s="71" t="str">
        <f>IFERROR(INDEX(RECICLADORES!C:C,MATCH(D919,RECICLADORES!B:B,0)),"")</f>
        <v/>
      </c>
      <c r="Q919" s="71" t="str">
        <f>IFERROR(INDEX(RECICLADORES!O:O,MATCH(D919,RECICLADORES!B:B,0)),"")</f>
        <v/>
      </c>
      <c r="R919" s="65"/>
      <c r="S919" s="65"/>
      <c r="T919" s="71"/>
      <c r="U919" s="71"/>
      <c r="V919" s="86"/>
    </row>
    <row r="920" spans="1:22" ht="16.5" thickTop="1" thickBot="1" x14ac:dyDescent="0.3">
      <c r="A920" s="35"/>
      <c r="C920" s="13"/>
      <c r="I920" s="23"/>
      <c r="J920" s="29" t="str">
        <f t="shared" si="12"/>
        <v/>
      </c>
      <c r="L920" s="71"/>
      <c r="M920" s="71"/>
      <c r="N920" s="71"/>
      <c r="O920" s="71"/>
      <c r="P920" s="71" t="str">
        <f>IFERROR(INDEX(RECICLADORES!C:C,MATCH(D920,RECICLADORES!B:B,0)),"")</f>
        <v/>
      </c>
      <c r="Q920" s="71" t="str">
        <f>IFERROR(INDEX(RECICLADORES!O:O,MATCH(D920,RECICLADORES!B:B,0)),"")</f>
        <v/>
      </c>
      <c r="R920" s="65"/>
      <c r="S920" s="65"/>
      <c r="T920" s="71"/>
      <c r="U920" s="71"/>
      <c r="V920" s="86"/>
    </row>
    <row r="921" spans="1:22" ht="16.5" thickTop="1" thickBot="1" x14ac:dyDescent="0.3">
      <c r="A921" s="34"/>
      <c r="C921" s="13"/>
      <c r="I921" s="23"/>
      <c r="J921" s="29" t="str">
        <f t="shared" si="12"/>
        <v/>
      </c>
      <c r="L921" s="71"/>
      <c r="M921" s="71"/>
      <c r="N921" s="71"/>
      <c r="O921" s="71"/>
      <c r="P921" s="71" t="str">
        <f>IFERROR(INDEX(RECICLADORES!C:C,MATCH(D921,RECICLADORES!B:B,0)),"")</f>
        <v/>
      </c>
      <c r="Q921" s="71" t="str">
        <f>IFERROR(INDEX(RECICLADORES!O:O,MATCH(D921,RECICLADORES!B:B,0)),"")</f>
        <v/>
      </c>
      <c r="R921" s="65"/>
      <c r="S921" s="65"/>
      <c r="T921" s="71"/>
      <c r="U921" s="71"/>
      <c r="V921" s="86"/>
    </row>
    <row r="922" spans="1:22" ht="16.5" thickTop="1" thickBot="1" x14ac:dyDescent="0.3">
      <c r="A922" s="35"/>
      <c r="C922" s="13"/>
      <c r="I922" s="23"/>
      <c r="J922" s="29" t="str">
        <f t="shared" si="12"/>
        <v/>
      </c>
      <c r="L922" s="71"/>
      <c r="M922" s="71"/>
      <c r="N922" s="71"/>
      <c r="O922" s="71"/>
      <c r="P922" s="71" t="str">
        <f>IFERROR(INDEX(RECICLADORES!C:C,MATCH(D922,RECICLADORES!B:B,0)),"")</f>
        <v/>
      </c>
      <c r="Q922" s="71" t="str">
        <f>IFERROR(INDEX(RECICLADORES!O:O,MATCH(D922,RECICLADORES!B:B,0)),"")</f>
        <v/>
      </c>
      <c r="R922" s="65"/>
      <c r="S922" s="65"/>
      <c r="T922" s="71"/>
      <c r="U922" s="71"/>
      <c r="V922" s="86"/>
    </row>
    <row r="923" spans="1:22" ht="16.5" thickTop="1" thickBot="1" x14ac:dyDescent="0.3">
      <c r="A923" s="34"/>
      <c r="C923" s="13"/>
      <c r="I923" s="23"/>
      <c r="J923" s="29" t="str">
        <f t="shared" si="12"/>
        <v/>
      </c>
      <c r="L923" s="71"/>
      <c r="M923" s="71"/>
      <c r="N923" s="71"/>
      <c r="O923" s="71"/>
      <c r="P923" s="71" t="str">
        <f>IFERROR(INDEX(RECICLADORES!C:C,MATCH(D923,RECICLADORES!B:B,0)),"")</f>
        <v/>
      </c>
      <c r="Q923" s="71" t="str">
        <f>IFERROR(INDEX(RECICLADORES!O:O,MATCH(D923,RECICLADORES!B:B,0)),"")</f>
        <v/>
      </c>
      <c r="R923" s="65"/>
      <c r="S923" s="65"/>
      <c r="T923" s="71"/>
      <c r="U923" s="71"/>
      <c r="V923" s="86"/>
    </row>
    <row r="924" spans="1:22" ht="16.5" thickTop="1" thickBot="1" x14ac:dyDescent="0.3">
      <c r="A924" s="35"/>
      <c r="C924" s="13"/>
      <c r="I924" s="23"/>
      <c r="J924" s="29" t="str">
        <f t="shared" si="12"/>
        <v/>
      </c>
      <c r="L924" s="71"/>
      <c r="M924" s="71"/>
      <c r="N924" s="71"/>
      <c r="O924" s="71"/>
      <c r="P924" s="71" t="str">
        <f>IFERROR(INDEX(RECICLADORES!C:C,MATCH(D924,RECICLADORES!B:B,0)),"")</f>
        <v/>
      </c>
      <c r="Q924" s="71" t="str">
        <f>IFERROR(INDEX(RECICLADORES!O:O,MATCH(D924,RECICLADORES!B:B,0)),"")</f>
        <v/>
      </c>
      <c r="R924" s="65"/>
      <c r="S924" s="65"/>
      <c r="T924" s="71"/>
      <c r="U924" s="71"/>
      <c r="V924" s="86"/>
    </row>
    <row r="925" spans="1:22" ht="16.5" thickTop="1" thickBot="1" x14ac:dyDescent="0.3">
      <c r="A925" s="34"/>
      <c r="C925" s="13"/>
      <c r="I925" s="23"/>
      <c r="J925" s="29" t="str">
        <f t="shared" si="12"/>
        <v/>
      </c>
      <c r="L925" s="71"/>
      <c r="M925" s="71"/>
      <c r="N925" s="71"/>
      <c r="O925" s="71"/>
      <c r="P925" s="71" t="str">
        <f>IFERROR(INDEX(RECICLADORES!C:C,MATCH(D925,RECICLADORES!B:B,0)),"")</f>
        <v/>
      </c>
      <c r="Q925" s="71" t="str">
        <f>IFERROR(INDEX(RECICLADORES!O:O,MATCH(D925,RECICLADORES!B:B,0)),"")</f>
        <v/>
      </c>
      <c r="R925" s="65"/>
      <c r="S925" s="65"/>
      <c r="T925" s="71"/>
      <c r="U925" s="71"/>
      <c r="V925" s="86"/>
    </row>
    <row r="926" spans="1:22" ht="16.5" thickTop="1" thickBot="1" x14ac:dyDescent="0.3">
      <c r="A926" s="35"/>
      <c r="C926" s="13"/>
      <c r="I926" s="23"/>
      <c r="J926" s="29" t="str">
        <f t="shared" si="12"/>
        <v/>
      </c>
      <c r="L926" s="71"/>
      <c r="M926" s="71"/>
      <c r="N926" s="71"/>
      <c r="O926" s="71"/>
      <c r="P926" s="71" t="str">
        <f>IFERROR(INDEX(RECICLADORES!C:C,MATCH(D926,RECICLADORES!B:B,0)),"")</f>
        <v/>
      </c>
      <c r="Q926" s="71" t="str">
        <f>IFERROR(INDEX(RECICLADORES!O:O,MATCH(D926,RECICLADORES!B:B,0)),"")</f>
        <v/>
      </c>
      <c r="R926" s="65"/>
      <c r="S926" s="65"/>
      <c r="T926" s="71"/>
      <c r="U926" s="71"/>
      <c r="V926" s="86"/>
    </row>
    <row r="927" spans="1:22" ht="16.5" thickTop="1" thickBot="1" x14ac:dyDescent="0.3">
      <c r="A927" s="34"/>
      <c r="C927" s="13"/>
      <c r="I927" s="23"/>
      <c r="J927" s="29" t="str">
        <f t="shared" si="12"/>
        <v/>
      </c>
      <c r="L927" s="71"/>
      <c r="M927" s="71"/>
      <c r="N927" s="71"/>
      <c r="O927" s="71"/>
      <c r="P927" s="71" t="str">
        <f>IFERROR(INDEX(RECICLADORES!C:C,MATCH(D927,RECICLADORES!B:B,0)),"")</f>
        <v/>
      </c>
      <c r="Q927" s="71" t="str">
        <f>IFERROR(INDEX(RECICLADORES!O:O,MATCH(D927,RECICLADORES!B:B,0)),"")</f>
        <v/>
      </c>
      <c r="R927" s="65"/>
      <c r="S927" s="65"/>
      <c r="T927" s="71"/>
      <c r="U927" s="71"/>
      <c r="V927" s="86"/>
    </row>
    <row r="928" spans="1:22" ht="16.5" thickTop="1" thickBot="1" x14ac:dyDescent="0.3">
      <c r="A928" s="35"/>
      <c r="C928" s="13"/>
      <c r="I928" s="23"/>
      <c r="J928" s="29" t="str">
        <f t="shared" si="12"/>
        <v/>
      </c>
      <c r="L928" s="71"/>
      <c r="M928" s="71"/>
      <c r="N928" s="71"/>
      <c r="O928" s="71"/>
      <c r="P928" s="71" t="str">
        <f>IFERROR(INDEX(RECICLADORES!C:C,MATCH(D928,RECICLADORES!B:B,0)),"")</f>
        <v/>
      </c>
      <c r="Q928" s="71" t="str">
        <f>IFERROR(INDEX(RECICLADORES!O:O,MATCH(D928,RECICLADORES!B:B,0)),"")</f>
        <v/>
      </c>
      <c r="R928" s="65"/>
      <c r="S928" s="65"/>
      <c r="T928" s="71"/>
      <c r="U928" s="71"/>
      <c r="V928" s="86"/>
    </row>
    <row r="929" spans="1:22" ht="16.5" thickTop="1" thickBot="1" x14ac:dyDescent="0.3">
      <c r="A929" s="34"/>
      <c r="C929" s="13"/>
      <c r="I929" s="23"/>
      <c r="J929" s="29" t="str">
        <f t="shared" si="12"/>
        <v/>
      </c>
      <c r="L929" s="71"/>
      <c r="M929" s="71"/>
      <c r="N929" s="71"/>
      <c r="O929" s="71"/>
      <c r="P929" s="71" t="str">
        <f>IFERROR(INDEX(RECICLADORES!C:C,MATCH(D929,RECICLADORES!B:B,0)),"")</f>
        <v/>
      </c>
      <c r="Q929" s="71" t="str">
        <f>IFERROR(INDEX(RECICLADORES!O:O,MATCH(D929,RECICLADORES!B:B,0)),"")</f>
        <v/>
      </c>
      <c r="R929" s="65"/>
      <c r="S929" s="65"/>
      <c r="T929" s="71"/>
      <c r="U929" s="71"/>
      <c r="V929" s="86"/>
    </row>
    <row r="930" spans="1:22" ht="16.5" thickTop="1" thickBot="1" x14ac:dyDescent="0.3">
      <c r="A930" s="35"/>
      <c r="C930" s="13"/>
      <c r="I930" s="23"/>
      <c r="J930" s="29" t="str">
        <f t="shared" si="12"/>
        <v/>
      </c>
      <c r="L930" s="71"/>
      <c r="M930" s="71"/>
      <c r="N930" s="71"/>
      <c r="O930" s="71"/>
      <c r="P930" s="71" t="str">
        <f>IFERROR(INDEX(RECICLADORES!C:C,MATCH(D930,RECICLADORES!B:B,0)),"")</f>
        <v/>
      </c>
      <c r="Q930" s="71" t="str">
        <f>IFERROR(INDEX(RECICLADORES!O:O,MATCH(D930,RECICLADORES!B:B,0)),"")</f>
        <v/>
      </c>
      <c r="R930" s="65"/>
      <c r="S930" s="65"/>
      <c r="T930" s="71"/>
      <c r="U930" s="71"/>
      <c r="V930" s="86"/>
    </row>
    <row r="931" spans="1:22" ht="16.5" thickTop="1" thickBot="1" x14ac:dyDescent="0.3">
      <c r="A931" s="34"/>
      <c r="C931" s="13"/>
      <c r="I931" s="23"/>
      <c r="J931" s="29" t="str">
        <f t="shared" si="12"/>
        <v/>
      </c>
      <c r="L931" s="71"/>
      <c r="M931" s="71"/>
      <c r="N931" s="71"/>
      <c r="O931" s="71"/>
      <c r="P931" s="71" t="str">
        <f>IFERROR(INDEX(RECICLADORES!C:C,MATCH(D931,RECICLADORES!B:B,0)),"")</f>
        <v/>
      </c>
      <c r="Q931" s="71" t="str">
        <f>IFERROR(INDEX(RECICLADORES!O:O,MATCH(D931,RECICLADORES!B:B,0)),"")</f>
        <v/>
      </c>
      <c r="R931" s="65"/>
      <c r="S931" s="65"/>
      <c r="T931" s="71"/>
      <c r="U931" s="71"/>
      <c r="V931" s="86"/>
    </row>
    <row r="932" spans="1:22" ht="16.5" thickTop="1" thickBot="1" x14ac:dyDescent="0.3">
      <c r="A932" s="35"/>
      <c r="C932" s="13"/>
      <c r="I932" s="23"/>
      <c r="J932" s="29" t="str">
        <f t="shared" si="12"/>
        <v/>
      </c>
      <c r="L932" s="71"/>
      <c r="M932" s="71"/>
      <c r="N932" s="71"/>
      <c r="O932" s="71"/>
      <c r="P932" s="71" t="str">
        <f>IFERROR(INDEX(RECICLADORES!C:C,MATCH(D932,RECICLADORES!B:B,0)),"")</f>
        <v/>
      </c>
      <c r="Q932" s="71" t="str">
        <f>IFERROR(INDEX(RECICLADORES!O:O,MATCH(D932,RECICLADORES!B:B,0)),"")</f>
        <v/>
      </c>
      <c r="R932" s="65"/>
      <c r="S932" s="65"/>
      <c r="T932" s="71"/>
      <c r="U932" s="71"/>
      <c r="V932" s="86"/>
    </row>
    <row r="933" spans="1:22" ht="16.5" thickTop="1" thickBot="1" x14ac:dyDescent="0.3">
      <c r="A933" s="34"/>
      <c r="C933" s="13"/>
      <c r="I933" s="23"/>
      <c r="J933" s="29" t="str">
        <f t="shared" si="12"/>
        <v/>
      </c>
      <c r="L933" s="71"/>
      <c r="M933" s="71"/>
      <c r="N933" s="71"/>
      <c r="O933" s="71"/>
      <c r="P933" s="71" t="str">
        <f>IFERROR(INDEX(RECICLADORES!C:C,MATCH(D933,RECICLADORES!B:B,0)),"")</f>
        <v/>
      </c>
      <c r="Q933" s="71" t="str">
        <f>IFERROR(INDEX(RECICLADORES!O:O,MATCH(D933,RECICLADORES!B:B,0)),"")</f>
        <v/>
      </c>
      <c r="R933" s="65"/>
      <c r="S933" s="65"/>
      <c r="T933" s="71"/>
      <c r="U933" s="71"/>
      <c r="V933" s="86"/>
    </row>
    <row r="934" spans="1:22" ht="16.5" thickTop="1" thickBot="1" x14ac:dyDescent="0.3">
      <c r="A934" s="35"/>
      <c r="C934" s="13"/>
      <c r="I934" s="23"/>
      <c r="J934" s="29" t="str">
        <f t="shared" si="12"/>
        <v/>
      </c>
      <c r="L934" s="71"/>
      <c r="M934" s="71"/>
      <c r="N934" s="71"/>
      <c r="O934" s="71"/>
      <c r="P934" s="71" t="str">
        <f>IFERROR(INDEX(RECICLADORES!C:C,MATCH(D934,RECICLADORES!B:B,0)),"")</f>
        <v/>
      </c>
      <c r="Q934" s="71" t="str">
        <f>IFERROR(INDEX(RECICLADORES!O:O,MATCH(D934,RECICLADORES!B:B,0)),"")</f>
        <v/>
      </c>
      <c r="R934" s="65"/>
      <c r="S934" s="65"/>
      <c r="T934" s="71"/>
      <c r="U934" s="71"/>
      <c r="V934" s="86"/>
    </row>
    <row r="935" spans="1:22" ht="16.5" thickTop="1" thickBot="1" x14ac:dyDescent="0.3">
      <c r="A935" s="34"/>
      <c r="C935" s="13"/>
      <c r="I935" s="23"/>
      <c r="J935" s="29" t="str">
        <f t="shared" si="12"/>
        <v/>
      </c>
      <c r="L935" s="71"/>
      <c r="M935" s="71"/>
      <c r="N935" s="71"/>
      <c r="O935" s="71"/>
      <c r="P935" s="71" t="str">
        <f>IFERROR(INDEX(RECICLADORES!C:C,MATCH(D935,RECICLADORES!B:B,0)),"")</f>
        <v/>
      </c>
      <c r="Q935" s="71" t="str">
        <f>IFERROR(INDEX(RECICLADORES!O:O,MATCH(D935,RECICLADORES!B:B,0)),"")</f>
        <v/>
      </c>
      <c r="R935" s="65"/>
      <c r="S935" s="65"/>
      <c r="T935" s="71"/>
      <c r="U935" s="71"/>
      <c r="V935" s="86"/>
    </row>
    <row r="936" spans="1:22" ht="16.5" thickTop="1" thickBot="1" x14ac:dyDescent="0.3">
      <c r="A936" s="35"/>
      <c r="C936" s="13"/>
      <c r="I936" s="23"/>
      <c r="J936" s="29" t="str">
        <f t="shared" si="12"/>
        <v/>
      </c>
      <c r="L936" s="71"/>
      <c r="M936" s="71"/>
      <c r="N936" s="71"/>
      <c r="O936" s="71"/>
      <c r="P936" s="71" t="str">
        <f>IFERROR(INDEX(RECICLADORES!C:C,MATCH(D936,RECICLADORES!B:B,0)),"")</f>
        <v/>
      </c>
      <c r="Q936" s="71" t="str">
        <f>IFERROR(INDEX(RECICLADORES!O:O,MATCH(D936,RECICLADORES!B:B,0)),"")</f>
        <v/>
      </c>
      <c r="R936" s="65"/>
      <c r="S936" s="65"/>
      <c r="T936" s="71"/>
      <c r="U936" s="71"/>
      <c r="V936" s="86"/>
    </row>
    <row r="937" spans="1:22" ht="16.5" thickTop="1" thickBot="1" x14ac:dyDescent="0.3">
      <c r="A937" s="34"/>
      <c r="C937" s="13"/>
      <c r="I937" s="23"/>
      <c r="J937" s="29" t="str">
        <f t="shared" si="12"/>
        <v/>
      </c>
      <c r="L937" s="71"/>
      <c r="M937" s="71"/>
      <c r="N937" s="71"/>
      <c r="O937" s="71"/>
      <c r="P937" s="71" t="str">
        <f>IFERROR(INDEX(RECICLADORES!C:C,MATCH(D937,RECICLADORES!B:B,0)),"")</f>
        <v/>
      </c>
      <c r="Q937" s="71" t="str">
        <f>IFERROR(INDEX(RECICLADORES!O:O,MATCH(D937,RECICLADORES!B:B,0)),"")</f>
        <v/>
      </c>
      <c r="R937" s="65"/>
      <c r="S937" s="65"/>
      <c r="T937" s="71"/>
      <c r="U937" s="71"/>
      <c r="V937" s="86"/>
    </row>
    <row r="938" spans="1:22" ht="16.5" thickTop="1" thickBot="1" x14ac:dyDescent="0.3">
      <c r="A938" s="35"/>
      <c r="C938" s="13"/>
      <c r="I938" s="23"/>
      <c r="J938" s="29" t="str">
        <f t="shared" si="12"/>
        <v/>
      </c>
      <c r="L938" s="71"/>
      <c r="M938" s="71"/>
      <c r="N938" s="71"/>
      <c r="O938" s="71"/>
      <c r="P938" s="71" t="str">
        <f>IFERROR(INDEX(RECICLADORES!C:C,MATCH(D938,RECICLADORES!B:B,0)),"")</f>
        <v/>
      </c>
      <c r="Q938" s="71" t="str">
        <f>IFERROR(INDEX(RECICLADORES!O:O,MATCH(D938,RECICLADORES!B:B,0)),"")</f>
        <v/>
      </c>
      <c r="R938" s="65"/>
      <c r="S938" s="65"/>
      <c r="T938" s="71"/>
      <c r="U938" s="71"/>
      <c r="V938" s="86"/>
    </row>
    <row r="939" spans="1:22" ht="16.5" thickTop="1" thickBot="1" x14ac:dyDescent="0.3">
      <c r="A939" s="34"/>
      <c r="C939" s="13"/>
      <c r="I939" s="23"/>
      <c r="J939" s="29" t="str">
        <f t="shared" ref="J939:J1002" si="13">IF(C939="","",INT((DAY(C939)-1)/7)+1)</f>
        <v/>
      </c>
      <c r="L939" s="71"/>
      <c r="M939" s="71"/>
      <c r="N939" s="71"/>
      <c r="O939" s="71"/>
      <c r="P939" s="71" t="str">
        <f>IFERROR(INDEX(RECICLADORES!C:C,MATCH(D939,RECICLADORES!B:B,0)),"")</f>
        <v/>
      </c>
      <c r="Q939" s="71" t="str">
        <f>IFERROR(INDEX(RECICLADORES!O:O,MATCH(D939,RECICLADORES!B:B,0)),"")</f>
        <v/>
      </c>
      <c r="R939" s="65"/>
      <c r="S939" s="65"/>
      <c r="T939" s="71"/>
      <c r="U939" s="71"/>
      <c r="V939" s="86"/>
    </row>
    <row r="940" spans="1:22" ht="16.5" thickTop="1" thickBot="1" x14ac:dyDescent="0.3">
      <c r="A940" s="35"/>
      <c r="C940" s="13"/>
      <c r="I940" s="23"/>
      <c r="J940" s="29" t="str">
        <f t="shared" si="13"/>
        <v/>
      </c>
      <c r="L940" s="71"/>
      <c r="M940" s="71"/>
      <c r="N940" s="71"/>
      <c r="O940" s="71"/>
      <c r="P940" s="71" t="str">
        <f>IFERROR(INDEX(RECICLADORES!C:C,MATCH(D940,RECICLADORES!B:B,0)),"")</f>
        <v/>
      </c>
      <c r="Q940" s="71" t="str">
        <f>IFERROR(INDEX(RECICLADORES!O:O,MATCH(D940,RECICLADORES!B:B,0)),"")</f>
        <v/>
      </c>
      <c r="R940" s="65"/>
      <c r="S940" s="65"/>
      <c r="T940" s="71"/>
      <c r="U940" s="71"/>
      <c r="V940" s="86"/>
    </row>
    <row r="941" spans="1:22" ht="16.5" thickTop="1" thickBot="1" x14ac:dyDescent="0.3">
      <c r="A941" s="34"/>
      <c r="C941" s="13"/>
      <c r="I941" s="23"/>
      <c r="J941" s="29" t="str">
        <f t="shared" si="13"/>
        <v/>
      </c>
      <c r="L941" s="71"/>
      <c r="M941" s="71"/>
      <c r="N941" s="71"/>
      <c r="O941" s="71"/>
      <c r="P941" s="71" t="str">
        <f>IFERROR(INDEX(RECICLADORES!C:C,MATCH(D941,RECICLADORES!B:B,0)),"")</f>
        <v/>
      </c>
      <c r="Q941" s="71" t="str">
        <f>IFERROR(INDEX(RECICLADORES!O:O,MATCH(D941,RECICLADORES!B:B,0)),"")</f>
        <v/>
      </c>
      <c r="R941" s="65"/>
      <c r="S941" s="65"/>
      <c r="T941" s="71"/>
      <c r="U941" s="71"/>
      <c r="V941" s="86"/>
    </row>
    <row r="942" spans="1:22" ht="16.5" thickTop="1" thickBot="1" x14ac:dyDescent="0.3">
      <c r="A942" s="35"/>
      <c r="C942" s="13"/>
      <c r="I942" s="23"/>
      <c r="J942" s="29" t="str">
        <f t="shared" si="13"/>
        <v/>
      </c>
      <c r="L942" s="71"/>
      <c r="M942" s="71"/>
      <c r="N942" s="71"/>
      <c r="O942" s="71"/>
      <c r="P942" s="71" t="str">
        <f>IFERROR(INDEX(RECICLADORES!C:C,MATCH(D942,RECICLADORES!B:B,0)),"")</f>
        <v/>
      </c>
      <c r="Q942" s="71" t="str">
        <f>IFERROR(INDEX(RECICLADORES!O:O,MATCH(D942,RECICLADORES!B:B,0)),"")</f>
        <v/>
      </c>
      <c r="R942" s="65"/>
      <c r="S942" s="65"/>
      <c r="T942" s="71"/>
      <c r="U942" s="71"/>
      <c r="V942" s="86"/>
    </row>
    <row r="943" spans="1:22" ht="16.5" thickTop="1" thickBot="1" x14ac:dyDescent="0.3">
      <c r="A943" s="34"/>
      <c r="C943" s="13"/>
      <c r="I943" s="23"/>
      <c r="J943" s="29" t="str">
        <f t="shared" si="13"/>
        <v/>
      </c>
      <c r="L943" s="71"/>
      <c r="M943" s="71"/>
      <c r="N943" s="71"/>
      <c r="O943" s="71"/>
      <c r="P943" s="71" t="str">
        <f>IFERROR(INDEX(RECICLADORES!C:C,MATCH(D943,RECICLADORES!B:B,0)),"")</f>
        <v/>
      </c>
      <c r="Q943" s="71" t="str">
        <f>IFERROR(INDEX(RECICLADORES!O:O,MATCH(D943,RECICLADORES!B:B,0)),"")</f>
        <v/>
      </c>
      <c r="R943" s="65"/>
      <c r="S943" s="65"/>
      <c r="T943" s="71"/>
      <c r="U943" s="71"/>
      <c r="V943" s="86"/>
    </row>
    <row r="944" spans="1:22" ht="16.5" thickTop="1" thickBot="1" x14ac:dyDescent="0.3">
      <c r="A944" s="35"/>
      <c r="C944" s="13"/>
      <c r="I944" s="23"/>
      <c r="J944" s="29" t="str">
        <f t="shared" si="13"/>
        <v/>
      </c>
      <c r="L944" s="71"/>
      <c r="M944" s="71"/>
      <c r="N944" s="71"/>
      <c r="O944" s="71"/>
      <c r="P944" s="71" t="str">
        <f>IFERROR(INDEX(RECICLADORES!C:C,MATCH(D944,RECICLADORES!B:B,0)),"")</f>
        <v/>
      </c>
      <c r="Q944" s="71" t="str">
        <f>IFERROR(INDEX(RECICLADORES!O:O,MATCH(D944,RECICLADORES!B:B,0)),"")</f>
        <v/>
      </c>
      <c r="R944" s="65"/>
      <c r="S944" s="65"/>
      <c r="T944" s="71"/>
      <c r="U944" s="71"/>
      <c r="V944" s="86"/>
    </row>
    <row r="945" spans="1:22" ht="16.5" thickTop="1" thickBot="1" x14ac:dyDescent="0.3">
      <c r="A945" s="34"/>
      <c r="C945" s="13"/>
      <c r="I945" s="23"/>
      <c r="J945" s="29" t="str">
        <f t="shared" si="13"/>
        <v/>
      </c>
      <c r="L945" s="71"/>
      <c r="M945" s="71"/>
      <c r="N945" s="71"/>
      <c r="O945" s="71"/>
      <c r="P945" s="71" t="str">
        <f>IFERROR(INDEX(RECICLADORES!C:C,MATCH(D945,RECICLADORES!B:B,0)),"")</f>
        <v/>
      </c>
      <c r="Q945" s="71" t="str">
        <f>IFERROR(INDEX(RECICLADORES!O:O,MATCH(D945,RECICLADORES!B:B,0)),"")</f>
        <v/>
      </c>
      <c r="R945" s="65"/>
      <c r="S945" s="65"/>
      <c r="T945" s="71"/>
      <c r="U945" s="71"/>
      <c r="V945" s="86"/>
    </row>
    <row r="946" spans="1:22" ht="16.5" thickTop="1" thickBot="1" x14ac:dyDescent="0.3">
      <c r="A946" s="35"/>
      <c r="C946" s="13"/>
      <c r="I946" s="23"/>
      <c r="J946" s="29" t="str">
        <f t="shared" si="13"/>
        <v/>
      </c>
      <c r="L946" s="71"/>
      <c r="M946" s="71"/>
      <c r="N946" s="71"/>
      <c r="O946" s="71"/>
      <c r="P946" s="71" t="str">
        <f>IFERROR(INDEX(RECICLADORES!C:C,MATCH(D946,RECICLADORES!B:B,0)),"")</f>
        <v/>
      </c>
      <c r="Q946" s="71" t="str">
        <f>IFERROR(INDEX(RECICLADORES!O:O,MATCH(D946,RECICLADORES!B:B,0)),"")</f>
        <v/>
      </c>
      <c r="R946" s="65"/>
      <c r="S946" s="65"/>
      <c r="T946" s="71"/>
      <c r="U946" s="71"/>
      <c r="V946" s="86"/>
    </row>
    <row r="947" spans="1:22" ht="16.5" thickTop="1" thickBot="1" x14ac:dyDescent="0.3">
      <c r="A947" s="35"/>
      <c r="C947" s="13"/>
      <c r="I947" s="23"/>
      <c r="J947" s="29" t="str">
        <f t="shared" si="13"/>
        <v/>
      </c>
      <c r="L947" s="71"/>
      <c r="M947" s="71"/>
      <c r="N947" s="71"/>
      <c r="O947" s="71"/>
      <c r="P947" s="71" t="str">
        <f>IFERROR(INDEX(RECICLADORES!C:C,MATCH(D947,RECICLADORES!B:B,0)),"")</f>
        <v/>
      </c>
      <c r="Q947" s="71" t="str">
        <f>IFERROR(INDEX(RECICLADORES!O:O,MATCH(D947,RECICLADORES!B:B,0)),"")</f>
        <v/>
      </c>
      <c r="R947" s="65"/>
      <c r="S947" s="65"/>
      <c r="T947" s="71"/>
      <c r="U947" s="71"/>
      <c r="V947" s="86"/>
    </row>
    <row r="948" spans="1:22" ht="16.5" thickTop="1" thickBot="1" x14ac:dyDescent="0.3">
      <c r="A948" s="34"/>
      <c r="C948" s="13"/>
      <c r="I948" s="23"/>
      <c r="J948" s="29" t="str">
        <f t="shared" si="13"/>
        <v/>
      </c>
      <c r="L948" s="71"/>
      <c r="M948" s="71"/>
      <c r="N948" s="71"/>
      <c r="O948" s="71"/>
      <c r="P948" s="71" t="str">
        <f>IFERROR(INDEX(RECICLADORES!C:C,MATCH(D948,RECICLADORES!B:B,0)),"")</f>
        <v/>
      </c>
      <c r="Q948" s="71" t="str">
        <f>IFERROR(INDEX(RECICLADORES!O:O,MATCH(D948,RECICLADORES!B:B,0)),"")</f>
        <v/>
      </c>
      <c r="R948" s="65"/>
      <c r="S948" s="65"/>
      <c r="T948" s="71"/>
      <c r="U948" s="71"/>
      <c r="V948" s="86"/>
    </row>
    <row r="949" spans="1:22" ht="16.5" thickTop="1" thickBot="1" x14ac:dyDescent="0.3">
      <c r="A949" s="35"/>
      <c r="C949" s="13"/>
      <c r="I949" s="23"/>
      <c r="J949" s="29" t="str">
        <f t="shared" si="13"/>
        <v/>
      </c>
      <c r="L949" s="71"/>
      <c r="M949" s="71"/>
      <c r="N949" s="71"/>
      <c r="O949" s="71"/>
      <c r="P949" s="71" t="str">
        <f>IFERROR(INDEX(RECICLADORES!C:C,MATCH(D949,RECICLADORES!B:B,0)),"")</f>
        <v/>
      </c>
      <c r="Q949" s="71" t="str">
        <f>IFERROR(INDEX(RECICLADORES!O:O,MATCH(D949,RECICLADORES!B:B,0)),"")</f>
        <v/>
      </c>
      <c r="R949" s="65"/>
      <c r="S949" s="65"/>
      <c r="T949" s="71"/>
      <c r="U949" s="71"/>
      <c r="V949" s="86"/>
    </row>
    <row r="950" spans="1:22" ht="16.5" thickTop="1" thickBot="1" x14ac:dyDescent="0.3">
      <c r="A950" s="34"/>
      <c r="C950" s="13"/>
      <c r="I950" s="23"/>
      <c r="J950" s="29" t="str">
        <f t="shared" si="13"/>
        <v/>
      </c>
      <c r="L950" s="71"/>
      <c r="M950" s="71"/>
      <c r="N950" s="71"/>
      <c r="O950" s="71"/>
      <c r="P950" s="71" t="str">
        <f>IFERROR(INDEX(RECICLADORES!C:C,MATCH(D950,RECICLADORES!B:B,0)),"")</f>
        <v/>
      </c>
      <c r="Q950" s="71" t="str">
        <f>IFERROR(INDEX(RECICLADORES!O:O,MATCH(D950,RECICLADORES!B:B,0)),"")</f>
        <v/>
      </c>
      <c r="R950" s="65"/>
      <c r="S950" s="65"/>
      <c r="T950" s="71"/>
      <c r="U950" s="71"/>
      <c r="V950" s="86"/>
    </row>
    <row r="951" spans="1:22" ht="16.5" thickTop="1" thickBot="1" x14ac:dyDescent="0.3">
      <c r="A951" s="35"/>
      <c r="C951" s="13"/>
      <c r="I951" s="23"/>
      <c r="J951" s="29" t="str">
        <f t="shared" si="13"/>
        <v/>
      </c>
      <c r="L951" s="71"/>
      <c r="M951" s="71"/>
      <c r="N951" s="71"/>
      <c r="O951" s="71"/>
      <c r="P951" s="71" t="str">
        <f>IFERROR(INDEX(RECICLADORES!C:C,MATCH(D951,RECICLADORES!B:B,0)),"")</f>
        <v/>
      </c>
      <c r="Q951" s="71" t="str">
        <f>IFERROR(INDEX(RECICLADORES!O:O,MATCH(D951,RECICLADORES!B:B,0)),"")</f>
        <v/>
      </c>
      <c r="R951" s="65"/>
      <c r="S951" s="65"/>
      <c r="T951" s="71"/>
      <c r="U951" s="71"/>
      <c r="V951" s="86"/>
    </row>
    <row r="952" spans="1:22" ht="16.5" thickTop="1" thickBot="1" x14ac:dyDescent="0.3">
      <c r="A952" s="34"/>
      <c r="C952" s="13"/>
      <c r="I952" s="23"/>
      <c r="J952" s="29" t="str">
        <f t="shared" si="13"/>
        <v/>
      </c>
      <c r="L952" s="71"/>
      <c r="M952" s="71"/>
      <c r="N952" s="71"/>
      <c r="O952" s="71"/>
      <c r="P952" s="71" t="str">
        <f>IFERROR(INDEX(RECICLADORES!C:C,MATCH(D952,RECICLADORES!B:B,0)),"")</f>
        <v/>
      </c>
      <c r="Q952" s="71" t="str">
        <f>IFERROR(INDEX(RECICLADORES!O:O,MATCH(D952,RECICLADORES!B:B,0)),"")</f>
        <v/>
      </c>
      <c r="R952" s="65"/>
      <c r="S952" s="65"/>
      <c r="T952" s="71"/>
      <c r="U952" s="71"/>
      <c r="V952" s="86"/>
    </row>
    <row r="953" spans="1:22" ht="16.5" thickTop="1" thickBot="1" x14ac:dyDescent="0.3">
      <c r="A953" s="35"/>
      <c r="C953" s="13"/>
      <c r="I953" s="23"/>
      <c r="J953" s="29" t="str">
        <f t="shared" si="13"/>
        <v/>
      </c>
      <c r="L953" s="71"/>
      <c r="M953" s="71"/>
      <c r="N953" s="71"/>
      <c r="O953" s="71"/>
      <c r="P953" s="71" t="str">
        <f>IFERROR(INDEX(RECICLADORES!C:C,MATCH(D953,RECICLADORES!B:B,0)),"")</f>
        <v/>
      </c>
      <c r="Q953" s="71" t="str">
        <f>IFERROR(INDEX(RECICLADORES!O:O,MATCH(D953,RECICLADORES!B:B,0)),"")</f>
        <v/>
      </c>
      <c r="R953" s="65"/>
      <c r="S953" s="65"/>
      <c r="T953" s="71"/>
      <c r="U953" s="71"/>
      <c r="V953" s="86"/>
    </row>
    <row r="954" spans="1:22" ht="16.5" thickTop="1" thickBot="1" x14ac:dyDescent="0.3">
      <c r="A954" s="34"/>
      <c r="C954" s="13"/>
      <c r="I954" s="23"/>
      <c r="J954" s="29" t="str">
        <f t="shared" si="13"/>
        <v/>
      </c>
      <c r="L954" s="71"/>
      <c r="M954" s="71"/>
      <c r="N954" s="71"/>
      <c r="O954" s="71"/>
      <c r="P954" s="71" t="str">
        <f>IFERROR(INDEX(RECICLADORES!C:C,MATCH(D954,RECICLADORES!B:B,0)),"")</f>
        <v/>
      </c>
      <c r="Q954" s="71" t="str">
        <f>IFERROR(INDEX(RECICLADORES!O:O,MATCH(D954,RECICLADORES!B:B,0)),"")</f>
        <v/>
      </c>
      <c r="R954" s="65"/>
      <c r="S954" s="65"/>
      <c r="T954" s="71"/>
      <c r="U954" s="71"/>
      <c r="V954" s="86"/>
    </row>
    <row r="955" spans="1:22" ht="16.5" thickTop="1" thickBot="1" x14ac:dyDescent="0.3">
      <c r="A955" s="35"/>
      <c r="C955" s="13"/>
      <c r="I955" s="23"/>
      <c r="J955" s="29" t="str">
        <f t="shared" si="13"/>
        <v/>
      </c>
      <c r="L955" s="71"/>
      <c r="M955" s="71"/>
      <c r="N955" s="71"/>
      <c r="O955" s="71"/>
      <c r="P955" s="71" t="str">
        <f>IFERROR(INDEX(RECICLADORES!C:C,MATCH(D955,RECICLADORES!B:B,0)),"")</f>
        <v/>
      </c>
      <c r="Q955" s="71" t="str">
        <f>IFERROR(INDEX(RECICLADORES!O:O,MATCH(D955,RECICLADORES!B:B,0)),"")</f>
        <v/>
      </c>
      <c r="R955" s="65"/>
      <c r="S955" s="65"/>
      <c r="T955" s="71"/>
      <c r="U955" s="71"/>
      <c r="V955" s="86"/>
    </row>
    <row r="956" spans="1:22" ht="16.5" thickTop="1" thickBot="1" x14ac:dyDescent="0.3">
      <c r="A956" s="34"/>
      <c r="C956" s="13"/>
      <c r="I956" s="23"/>
      <c r="J956" s="29" t="str">
        <f t="shared" si="13"/>
        <v/>
      </c>
      <c r="L956" s="71"/>
      <c r="M956" s="71"/>
      <c r="N956" s="71"/>
      <c r="O956" s="71"/>
      <c r="P956" s="71" t="str">
        <f>IFERROR(INDEX(RECICLADORES!C:C,MATCH(D956,RECICLADORES!B:B,0)),"")</f>
        <v/>
      </c>
      <c r="Q956" s="71" t="str">
        <f>IFERROR(INDEX(RECICLADORES!O:O,MATCH(D956,RECICLADORES!B:B,0)),"")</f>
        <v/>
      </c>
      <c r="R956" s="65"/>
      <c r="S956" s="65"/>
      <c r="T956" s="71"/>
      <c r="U956" s="71"/>
      <c r="V956" s="86"/>
    </row>
    <row r="957" spans="1:22" ht="16.5" thickTop="1" thickBot="1" x14ac:dyDescent="0.3">
      <c r="A957" s="35"/>
      <c r="C957" s="13"/>
      <c r="I957" s="23"/>
      <c r="J957" s="29" t="str">
        <f t="shared" si="13"/>
        <v/>
      </c>
      <c r="L957" s="71"/>
      <c r="M957" s="71"/>
      <c r="N957" s="71"/>
      <c r="O957" s="71"/>
      <c r="P957" s="71" t="str">
        <f>IFERROR(INDEX(RECICLADORES!C:C,MATCH(D957,RECICLADORES!B:B,0)),"")</f>
        <v/>
      </c>
      <c r="Q957" s="71" t="str">
        <f>IFERROR(INDEX(RECICLADORES!O:O,MATCH(D957,RECICLADORES!B:B,0)),"")</f>
        <v/>
      </c>
      <c r="R957" s="65"/>
      <c r="S957" s="65"/>
      <c r="T957" s="71"/>
      <c r="U957" s="71"/>
      <c r="V957" s="86"/>
    </row>
    <row r="958" spans="1:22" ht="16.5" thickTop="1" thickBot="1" x14ac:dyDescent="0.3">
      <c r="A958" s="34"/>
      <c r="C958" s="13"/>
      <c r="I958" s="23"/>
      <c r="J958" s="29" t="str">
        <f t="shared" si="13"/>
        <v/>
      </c>
      <c r="L958" s="71"/>
      <c r="M958" s="71"/>
      <c r="N958" s="71"/>
      <c r="O958" s="71"/>
      <c r="P958" s="71" t="str">
        <f>IFERROR(INDEX(RECICLADORES!C:C,MATCH(D958,RECICLADORES!B:B,0)),"")</f>
        <v/>
      </c>
      <c r="Q958" s="71" t="str">
        <f>IFERROR(INDEX(RECICLADORES!O:O,MATCH(D958,RECICLADORES!B:B,0)),"")</f>
        <v/>
      </c>
      <c r="R958" s="65"/>
      <c r="S958" s="65"/>
      <c r="T958" s="71"/>
      <c r="U958" s="71"/>
      <c r="V958" s="86"/>
    </row>
    <row r="959" spans="1:22" ht="16.5" thickTop="1" thickBot="1" x14ac:dyDescent="0.3">
      <c r="A959" s="35"/>
      <c r="C959" s="13"/>
      <c r="I959" s="23"/>
      <c r="J959" s="29" t="str">
        <f t="shared" si="13"/>
        <v/>
      </c>
      <c r="L959" s="71"/>
      <c r="M959" s="71"/>
      <c r="N959" s="71"/>
      <c r="O959" s="71"/>
      <c r="P959" s="71" t="str">
        <f>IFERROR(INDEX(RECICLADORES!C:C,MATCH(D959,RECICLADORES!B:B,0)),"")</f>
        <v/>
      </c>
      <c r="Q959" s="71" t="str">
        <f>IFERROR(INDEX(RECICLADORES!O:O,MATCH(D959,RECICLADORES!B:B,0)),"")</f>
        <v/>
      </c>
      <c r="R959" s="65"/>
      <c r="S959" s="65"/>
      <c r="T959" s="71"/>
      <c r="U959" s="71"/>
      <c r="V959" s="86"/>
    </row>
    <row r="960" spans="1:22" ht="16.5" thickTop="1" thickBot="1" x14ac:dyDescent="0.3">
      <c r="A960" s="34"/>
      <c r="C960" s="13"/>
      <c r="I960" s="23"/>
      <c r="J960" s="29" t="str">
        <f t="shared" si="13"/>
        <v/>
      </c>
      <c r="L960" s="71"/>
      <c r="M960" s="71"/>
      <c r="N960" s="71"/>
      <c r="O960" s="71"/>
      <c r="P960" s="71" t="str">
        <f>IFERROR(INDEX(RECICLADORES!C:C,MATCH(D960,RECICLADORES!B:B,0)),"")</f>
        <v/>
      </c>
      <c r="Q960" s="71" t="str">
        <f>IFERROR(INDEX(RECICLADORES!O:O,MATCH(D960,RECICLADORES!B:B,0)),"")</f>
        <v/>
      </c>
      <c r="R960" s="65"/>
      <c r="S960" s="65"/>
      <c r="T960" s="71"/>
      <c r="U960" s="71"/>
      <c r="V960" s="86"/>
    </row>
    <row r="961" spans="1:22" ht="16.5" thickTop="1" thickBot="1" x14ac:dyDescent="0.3">
      <c r="A961" s="35"/>
      <c r="C961" s="13"/>
      <c r="I961" s="23"/>
      <c r="J961" s="29" t="str">
        <f t="shared" si="13"/>
        <v/>
      </c>
      <c r="L961" s="71"/>
      <c r="M961" s="71"/>
      <c r="N961" s="71"/>
      <c r="O961" s="71"/>
      <c r="P961" s="71" t="str">
        <f>IFERROR(INDEX(RECICLADORES!C:C,MATCH(D961,RECICLADORES!B:B,0)),"")</f>
        <v/>
      </c>
      <c r="Q961" s="71" t="str">
        <f>IFERROR(INDEX(RECICLADORES!O:O,MATCH(D961,RECICLADORES!B:B,0)),"")</f>
        <v/>
      </c>
      <c r="R961" s="65"/>
      <c r="S961" s="65"/>
      <c r="T961" s="71"/>
      <c r="U961" s="71"/>
      <c r="V961" s="86"/>
    </row>
    <row r="962" spans="1:22" ht="16.5" thickTop="1" thickBot="1" x14ac:dyDescent="0.3">
      <c r="A962" s="34"/>
      <c r="C962" s="13"/>
      <c r="I962" s="23"/>
      <c r="J962" s="29" t="str">
        <f t="shared" si="13"/>
        <v/>
      </c>
      <c r="L962" s="71"/>
      <c r="M962" s="71"/>
      <c r="N962" s="71"/>
      <c r="O962" s="71"/>
      <c r="P962" s="71" t="str">
        <f>IFERROR(INDEX(RECICLADORES!C:C,MATCH(D962,RECICLADORES!B:B,0)),"")</f>
        <v/>
      </c>
      <c r="Q962" s="71" t="str">
        <f>IFERROR(INDEX(RECICLADORES!O:O,MATCH(D962,RECICLADORES!B:B,0)),"")</f>
        <v/>
      </c>
      <c r="R962" s="65"/>
      <c r="S962" s="65"/>
      <c r="T962" s="71"/>
      <c r="U962" s="71"/>
      <c r="V962" s="86"/>
    </row>
    <row r="963" spans="1:22" ht="16.5" thickTop="1" thickBot="1" x14ac:dyDescent="0.3">
      <c r="A963" s="35"/>
      <c r="C963" s="13"/>
      <c r="I963" s="23"/>
      <c r="J963" s="29" t="str">
        <f t="shared" si="13"/>
        <v/>
      </c>
      <c r="L963" s="71"/>
      <c r="M963" s="71"/>
      <c r="N963" s="71"/>
      <c r="O963" s="71"/>
      <c r="P963" s="71" t="str">
        <f>IFERROR(INDEX(RECICLADORES!C:C,MATCH(D963,RECICLADORES!B:B,0)),"")</f>
        <v/>
      </c>
      <c r="Q963" s="71" t="str">
        <f>IFERROR(INDEX(RECICLADORES!O:O,MATCH(D963,RECICLADORES!B:B,0)),"")</f>
        <v/>
      </c>
      <c r="R963" s="65"/>
      <c r="S963" s="65"/>
      <c r="T963" s="71"/>
      <c r="U963" s="71"/>
      <c r="V963" s="86"/>
    </row>
    <row r="964" spans="1:22" ht="16.5" thickTop="1" thickBot="1" x14ac:dyDescent="0.3">
      <c r="A964" s="34"/>
      <c r="C964" s="13"/>
      <c r="I964" s="23"/>
      <c r="J964" s="29" t="str">
        <f t="shared" si="13"/>
        <v/>
      </c>
      <c r="L964" s="71"/>
      <c r="M964" s="71"/>
      <c r="N964" s="71"/>
      <c r="O964" s="71"/>
      <c r="P964" s="71" t="str">
        <f>IFERROR(INDEX(RECICLADORES!C:C,MATCH(D964,RECICLADORES!B:B,0)),"")</f>
        <v/>
      </c>
      <c r="Q964" s="71" t="str">
        <f>IFERROR(INDEX(RECICLADORES!O:O,MATCH(D964,RECICLADORES!B:B,0)),"")</f>
        <v/>
      </c>
      <c r="R964" s="65"/>
      <c r="S964" s="65"/>
      <c r="T964" s="71"/>
      <c r="U964" s="71"/>
      <c r="V964" s="86"/>
    </row>
    <row r="965" spans="1:22" ht="16.5" thickTop="1" thickBot="1" x14ac:dyDescent="0.3">
      <c r="A965" s="35"/>
      <c r="C965" s="13"/>
      <c r="I965" s="23"/>
      <c r="J965" s="29" t="str">
        <f t="shared" si="13"/>
        <v/>
      </c>
      <c r="L965" s="71"/>
      <c r="M965" s="71"/>
      <c r="N965" s="71"/>
      <c r="O965" s="71"/>
      <c r="P965" s="71" t="str">
        <f>IFERROR(INDEX(RECICLADORES!C:C,MATCH(D965,RECICLADORES!B:B,0)),"")</f>
        <v/>
      </c>
      <c r="Q965" s="71" t="str">
        <f>IFERROR(INDEX(RECICLADORES!O:O,MATCH(D965,RECICLADORES!B:B,0)),"")</f>
        <v/>
      </c>
      <c r="R965" s="65"/>
      <c r="S965" s="65"/>
      <c r="T965" s="71"/>
      <c r="U965" s="71"/>
      <c r="V965" s="86"/>
    </row>
    <row r="966" spans="1:22" ht="16.5" thickTop="1" thickBot="1" x14ac:dyDescent="0.3">
      <c r="A966" s="34"/>
      <c r="C966" s="13"/>
      <c r="I966" s="23"/>
      <c r="J966" s="29" t="str">
        <f t="shared" si="13"/>
        <v/>
      </c>
      <c r="L966" s="71"/>
      <c r="M966" s="71"/>
      <c r="N966" s="71"/>
      <c r="O966" s="71"/>
      <c r="P966" s="71" t="str">
        <f>IFERROR(INDEX(RECICLADORES!C:C,MATCH(D966,RECICLADORES!B:B,0)),"")</f>
        <v/>
      </c>
      <c r="Q966" s="71" t="str">
        <f>IFERROR(INDEX(RECICLADORES!O:O,MATCH(D966,RECICLADORES!B:B,0)),"")</f>
        <v/>
      </c>
      <c r="R966" s="65"/>
      <c r="S966" s="65"/>
      <c r="T966" s="71"/>
      <c r="U966" s="71"/>
      <c r="V966" s="86"/>
    </row>
    <row r="967" spans="1:22" ht="16.5" thickTop="1" thickBot="1" x14ac:dyDescent="0.3">
      <c r="A967" s="35"/>
      <c r="C967" s="13"/>
      <c r="I967" s="23"/>
      <c r="J967" s="29" t="str">
        <f t="shared" si="13"/>
        <v/>
      </c>
      <c r="L967" s="71"/>
      <c r="M967" s="71"/>
      <c r="N967" s="71"/>
      <c r="O967" s="71"/>
      <c r="P967" s="71" t="str">
        <f>IFERROR(INDEX(RECICLADORES!C:C,MATCH(D967,RECICLADORES!B:B,0)),"")</f>
        <v/>
      </c>
      <c r="Q967" s="71" t="str">
        <f>IFERROR(INDEX(RECICLADORES!O:O,MATCH(D967,RECICLADORES!B:B,0)),"")</f>
        <v/>
      </c>
      <c r="R967" s="65"/>
      <c r="S967" s="65"/>
      <c r="T967" s="71"/>
      <c r="U967" s="71"/>
      <c r="V967" s="86"/>
    </row>
    <row r="968" spans="1:22" ht="16.5" thickTop="1" thickBot="1" x14ac:dyDescent="0.3">
      <c r="A968" s="34"/>
      <c r="C968" s="13"/>
      <c r="I968" s="23"/>
      <c r="J968" s="29" t="str">
        <f t="shared" si="13"/>
        <v/>
      </c>
      <c r="L968" s="71"/>
      <c r="M968" s="71"/>
      <c r="N968" s="71"/>
      <c r="O968" s="71"/>
      <c r="P968" s="71" t="str">
        <f>IFERROR(INDEX(RECICLADORES!C:C,MATCH(D968,RECICLADORES!B:B,0)),"")</f>
        <v/>
      </c>
      <c r="Q968" s="71" t="str">
        <f>IFERROR(INDEX(RECICLADORES!O:O,MATCH(D968,RECICLADORES!B:B,0)),"")</f>
        <v/>
      </c>
      <c r="R968" s="65"/>
      <c r="S968" s="65"/>
      <c r="T968" s="71"/>
      <c r="U968" s="71"/>
      <c r="V968" s="86"/>
    </row>
    <row r="969" spans="1:22" ht="16.5" thickTop="1" thickBot="1" x14ac:dyDescent="0.3">
      <c r="A969" s="35"/>
      <c r="C969" s="13"/>
      <c r="I969" s="23"/>
      <c r="J969" s="29" t="str">
        <f t="shared" si="13"/>
        <v/>
      </c>
      <c r="L969" s="71"/>
      <c r="M969" s="71"/>
      <c r="N969" s="71"/>
      <c r="O969" s="71"/>
      <c r="P969" s="71" t="str">
        <f>IFERROR(INDEX(RECICLADORES!C:C,MATCH(D969,RECICLADORES!B:B,0)),"")</f>
        <v/>
      </c>
      <c r="Q969" s="71" t="str">
        <f>IFERROR(INDEX(RECICLADORES!O:O,MATCH(D969,RECICLADORES!B:B,0)),"")</f>
        <v/>
      </c>
      <c r="R969" s="65"/>
      <c r="S969" s="65"/>
      <c r="T969" s="71"/>
      <c r="U969" s="71"/>
      <c r="V969" s="86"/>
    </row>
    <row r="970" spans="1:22" ht="16.5" thickTop="1" thickBot="1" x14ac:dyDescent="0.3">
      <c r="A970" s="34"/>
      <c r="C970" s="13"/>
      <c r="I970" s="23"/>
      <c r="J970" s="29" t="str">
        <f t="shared" si="13"/>
        <v/>
      </c>
      <c r="L970" s="71"/>
      <c r="M970" s="71"/>
      <c r="N970" s="71"/>
      <c r="O970" s="71"/>
      <c r="P970" s="71" t="str">
        <f>IFERROR(INDEX(RECICLADORES!C:C,MATCH(D970,RECICLADORES!B:B,0)),"")</f>
        <v/>
      </c>
      <c r="Q970" s="71" t="str">
        <f>IFERROR(INDEX(RECICLADORES!O:O,MATCH(D970,RECICLADORES!B:B,0)),"")</f>
        <v/>
      </c>
      <c r="R970" s="65"/>
      <c r="S970" s="65"/>
      <c r="T970" s="71"/>
      <c r="U970" s="71"/>
      <c r="V970" s="86"/>
    </row>
    <row r="971" spans="1:22" ht="16.5" thickTop="1" thickBot="1" x14ac:dyDescent="0.3">
      <c r="A971" s="35"/>
      <c r="C971" s="13"/>
      <c r="I971" s="23"/>
      <c r="J971" s="29" t="str">
        <f t="shared" si="13"/>
        <v/>
      </c>
      <c r="L971" s="71"/>
      <c r="M971" s="71"/>
      <c r="N971" s="71"/>
      <c r="O971" s="71"/>
      <c r="P971" s="71" t="str">
        <f>IFERROR(INDEX(RECICLADORES!C:C,MATCH(D971,RECICLADORES!B:B,0)),"")</f>
        <v/>
      </c>
      <c r="Q971" s="71" t="str">
        <f>IFERROR(INDEX(RECICLADORES!O:O,MATCH(D971,RECICLADORES!B:B,0)),"")</f>
        <v/>
      </c>
      <c r="R971" s="65"/>
      <c r="S971" s="65"/>
      <c r="T971" s="71"/>
      <c r="U971" s="71"/>
      <c r="V971" s="86"/>
    </row>
    <row r="972" spans="1:22" ht="16.5" thickTop="1" thickBot="1" x14ac:dyDescent="0.3">
      <c r="A972" s="34"/>
      <c r="C972" s="13"/>
      <c r="I972" s="23"/>
      <c r="J972" s="29" t="str">
        <f t="shared" si="13"/>
        <v/>
      </c>
      <c r="L972" s="71"/>
      <c r="M972" s="71"/>
      <c r="N972" s="71"/>
      <c r="O972" s="71"/>
      <c r="P972" s="71" t="str">
        <f>IFERROR(INDEX(RECICLADORES!C:C,MATCH(D972,RECICLADORES!B:B,0)),"")</f>
        <v/>
      </c>
      <c r="Q972" s="71" t="str">
        <f>IFERROR(INDEX(RECICLADORES!O:O,MATCH(D972,RECICLADORES!B:B,0)),"")</f>
        <v/>
      </c>
      <c r="R972" s="65"/>
      <c r="S972" s="65"/>
      <c r="T972" s="71"/>
      <c r="U972" s="71"/>
      <c r="V972" s="86"/>
    </row>
    <row r="973" spans="1:22" ht="16.5" thickTop="1" thickBot="1" x14ac:dyDescent="0.3">
      <c r="A973" s="35"/>
      <c r="C973" s="13"/>
      <c r="I973" s="23"/>
      <c r="J973" s="29" t="str">
        <f t="shared" si="13"/>
        <v/>
      </c>
      <c r="L973" s="71"/>
      <c r="M973" s="71"/>
      <c r="N973" s="71"/>
      <c r="O973" s="71"/>
      <c r="P973" s="71" t="str">
        <f>IFERROR(INDEX(RECICLADORES!C:C,MATCH(D973,RECICLADORES!B:B,0)),"")</f>
        <v/>
      </c>
      <c r="Q973" s="71" t="str">
        <f>IFERROR(INDEX(RECICLADORES!O:O,MATCH(D973,RECICLADORES!B:B,0)),"")</f>
        <v/>
      </c>
      <c r="R973" s="65"/>
      <c r="S973" s="65"/>
      <c r="T973" s="71"/>
      <c r="U973" s="71"/>
      <c r="V973" s="86"/>
    </row>
    <row r="974" spans="1:22" ht="16.5" thickTop="1" thickBot="1" x14ac:dyDescent="0.3">
      <c r="A974" s="34"/>
      <c r="C974" s="13"/>
      <c r="I974" s="23"/>
      <c r="J974" s="29" t="str">
        <f t="shared" si="13"/>
        <v/>
      </c>
      <c r="L974" s="71"/>
      <c r="M974" s="71"/>
      <c r="N974" s="71"/>
      <c r="O974" s="71"/>
      <c r="P974" s="71" t="str">
        <f>IFERROR(INDEX(RECICLADORES!C:C,MATCH(D974,RECICLADORES!B:B,0)),"")</f>
        <v/>
      </c>
      <c r="Q974" s="71" t="str">
        <f>IFERROR(INDEX(RECICLADORES!O:O,MATCH(D974,RECICLADORES!B:B,0)),"")</f>
        <v/>
      </c>
      <c r="R974" s="65"/>
      <c r="S974" s="65"/>
      <c r="T974" s="71"/>
      <c r="U974" s="71"/>
      <c r="V974" s="86"/>
    </row>
    <row r="975" spans="1:22" ht="16.5" thickTop="1" thickBot="1" x14ac:dyDescent="0.3">
      <c r="A975" s="35"/>
      <c r="C975" s="13"/>
      <c r="I975" s="23"/>
      <c r="J975" s="29" t="str">
        <f t="shared" si="13"/>
        <v/>
      </c>
      <c r="L975" s="71"/>
      <c r="M975" s="71"/>
      <c r="N975" s="71"/>
      <c r="O975" s="71"/>
      <c r="P975" s="71" t="str">
        <f>IFERROR(INDEX(RECICLADORES!C:C,MATCH(D975,RECICLADORES!B:B,0)),"")</f>
        <v/>
      </c>
      <c r="Q975" s="71" t="str">
        <f>IFERROR(INDEX(RECICLADORES!O:O,MATCH(D975,RECICLADORES!B:B,0)),"")</f>
        <v/>
      </c>
      <c r="R975" s="65"/>
      <c r="S975" s="65"/>
      <c r="T975" s="71"/>
      <c r="U975" s="71"/>
      <c r="V975" s="86"/>
    </row>
    <row r="976" spans="1:22" ht="16.5" thickTop="1" thickBot="1" x14ac:dyDescent="0.3">
      <c r="A976" s="35"/>
      <c r="C976" s="13"/>
      <c r="I976" s="23"/>
      <c r="J976" s="29" t="str">
        <f t="shared" si="13"/>
        <v/>
      </c>
      <c r="L976" s="71"/>
      <c r="M976" s="71"/>
      <c r="N976" s="71"/>
      <c r="O976" s="71"/>
      <c r="P976" s="71" t="str">
        <f>IFERROR(INDEX(RECICLADORES!C:C,MATCH(D976,RECICLADORES!B:B,0)),"")</f>
        <v/>
      </c>
      <c r="Q976" s="71" t="str">
        <f>IFERROR(INDEX(RECICLADORES!O:O,MATCH(D976,RECICLADORES!B:B,0)),"")</f>
        <v/>
      </c>
      <c r="R976" s="65"/>
      <c r="S976" s="65"/>
      <c r="T976" s="71"/>
      <c r="U976" s="71"/>
      <c r="V976" s="86"/>
    </row>
    <row r="977" spans="1:22" ht="16.5" thickTop="1" thickBot="1" x14ac:dyDescent="0.3">
      <c r="A977" s="34"/>
      <c r="C977" s="13"/>
      <c r="I977" s="23"/>
      <c r="J977" s="29" t="str">
        <f t="shared" si="13"/>
        <v/>
      </c>
      <c r="L977" s="71"/>
      <c r="M977" s="71"/>
      <c r="N977" s="71"/>
      <c r="O977" s="71"/>
      <c r="P977" s="71" t="str">
        <f>IFERROR(INDEX(RECICLADORES!C:C,MATCH(D977,RECICLADORES!B:B,0)),"")</f>
        <v/>
      </c>
      <c r="Q977" s="71" t="str">
        <f>IFERROR(INDEX(RECICLADORES!O:O,MATCH(D977,RECICLADORES!B:B,0)),"")</f>
        <v/>
      </c>
      <c r="R977" s="65"/>
      <c r="S977" s="65"/>
      <c r="T977" s="71"/>
      <c r="U977" s="71"/>
      <c r="V977" s="86"/>
    </row>
    <row r="978" spans="1:22" ht="16.5" thickTop="1" thickBot="1" x14ac:dyDescent="0.3">
      <c r="A978" s="35"/>
      <c r="C978" s="13"/>
      <c r="I978" s="23"/>
      <c r="J978" s="29" t="str">
        <f t="shared" si="13"/>
        <v/>
      </c>
      <c r="L978" s="71"/>
      <c r="M978" s="71"/>
      <c r="N978" s="71"/>
      <c r="O978" s="71"/>
      <c r="P978" s="71" t="str">
        <f>IFERROR(INDEX(RECICLADORES!C:C,MATCH(D978,RECICLADORES!B:B,0)),"")</f>
        <v/>
      </c>
      <c r="Q978" s="71" t="str">
        <f>IFERROR(INDEX(RECICLADORES!O:O,MATCH(D978,RECICLADORES!B:B,0)),"")</f>
        <v/>
      </c>
      <c r="R978" s="65"/>
      <c r="S978" s="65"/>
      <c r="T978" s="71"/>
      <c r="U978" s="71"/>
      <c r="V978" s="86"/>
    </row>
    <row r="979" spans="1:22" ht="16.5" thickTop="1" thickBot="1" x14ac:dyDescent="0.3">
      <c r="A979" s="34"/>
      <c r="C979" s="13"/>
      <c r="I979" s="23"/>
      <c r="J979" s="29" t="str">
        <f t="shared" si="13"/>
        <v/>
      </c>
      <c r="L979" s="71"/>
      <c r="M979" s="71"/>
      <c r="N979" s="71"/>
      <c r="O979" s="71"/>
      <c r="P979" s="71" t="str">
        <f>IFERROR(INDEX(RECICLADORES!C:C,MATCH(D979,RECICLADORES!B:B,0)),"")</f>
        <v/>
      </c>
      <c r="Q979" s="71" t="str">
        <f>IFERROR(INDEX(RECICLADORES!O:O,MATCH(D979,RECICLADORES!B:B,0)),"")</f>
        <v/>
      </c>
      <c r="R979" s="65"/>
      <c r="S979" s="65"/>
      <c r="T979" s="71"/>
      <c r="U979" s="71"/>
      <c r="V979" s="86"/>
    </row>
    <row r="980" spans="1:22" ht="16.5" thickTop="1" thickBot="1" x14ac:dyDescent="0.3">
      <c r="A980" s="35"/>
      <c r="C980" s="13"/>
      <c r="I980" s="23"/>
      <c r="J980" s="29" t="str">
        <f t="shared" si="13"/>
        <v/>
      </c>
      <c r="L980" s="71"/>
      <c r="M980" s="71"/>
      <c r="N980" s="71"/>
      <c r="O980" s="71"/>
      <c r="P980" s="71" t="str">
        <f>IFERROR(INDEX(RECICLADORES!C:C,MATCH(D980,RECICLADORES!B:B,0)),"")</f>
        <v/>
      </c>
      <c r="Q980" s="71" t="str">
        <f>IFERROR(INDEX(RECICLADORES!O:O,MATCH(D980,RECICLADORES!B:B,0)),"")</f>
        <v/>
      </c>
      <c r="R980" s="65"/>
      <c r="S980" s="65"/>
      <c r="T980" s="71"/>
      <c r="U980" s="71"/>
      <c r="V980" s="86"/>
    </row>
    <row r="981" spans="1:22" ht="16.5" thickTop="1" thickBot="1" x14ac:dyDescent="0.3">
      <c r="A981" s="34"/>
      <c r="C981" s="13"/>
      <c r="I981" s="23"/>
      <c r="J981" s="29" t="str">
        <f t="shared" si="13"/>
        <v/>
      </c>
      <c r="L981" s="71"/>
      <c r="M981" s="71"/>
      <c r="N981" s="71"/>
      <c r="O981" s="71"/>
      <c r="P981" s="71" t="str">
        <f>IFERROR(INDEX(RECICLADORES!C:C,MATCH(D981,RECICLADORES!B:B,0)),"")</f>
        <v/>
      </c>
      <c r="Q981" s="71" t="str">
        <f>IFERROR(INDEX(RECICLADORES!O:O,MATCH(D981,RECICLADORES!B:B,0)),"")</f>
        <v/>
      </c>
      <c r="R981" s="65"/>
      <c r="S981" s="65"/>
      <c r="T981" s="71"/>
      <c r="U981" s="71"/>
      <c r="V981" s="86"/>
    </row>
    <row r="982" spans="1:22" ht="16.5" thickTop="1" thickBot="1" x14ac:dyDescent="0.3">
      <c r="A982" s="35"/>
      <c r="C982" s="13"/>
      <c r="I982" s="23"/>
      <c r="J982" s="29" t="str">
        <f t="shared" si="13"/>
        <v/>
      </c>
      <c r="L982" s="71"/>
      <c r="M982" s="71"/>
      <c r="N982" s="71"/>
      <c r="O982" s="71"/>
      <c r="P982" s="71" t="str">
        <f>IFERROR(INDEX(RECICLADORES!C:C,MATCH(D982,RECICLADORES!B:B,0)),"")</f>
        <v/>
      </c>
      <c r="Q982" s="71" t="str">
        <f>IFERROR(INDEX(RECICLADORES!O:O,MATCH(D982,RECICLADORES!B:B,0)),"")</f>
        <v/>
      </c>
      <c r="R982" s="65"/>
      <c r="S982" s="65"/>
      <c r="T982" s="71"/>
      <c r="U982" s="71"/>
      <c r="V982" s="86"/>
    </row>
    <row r="983" spans="1:22" ht="16.5" thickTop="1" thickBot="1" x14ac:dyDescent="0.3">
      <c r="A983" s="34"/>
      <c r="C983" s="13"/>
      <c r="I983" s="23"/>
      <c r="J983" s="29" t="str">
        <f t="shared" si="13"/>
        <v/>
      </c>
      <c r="L983" s="71"/>
      <c r="M983" s="71"/>
      <c r="N983" s="71"/>
      <c r="O983" s="71"/>
      <c r="P983" s="71" t="str">
        <f>IFERROR(INDEX(RECICLADORES!C:C,MATCH(D983,RECICLADORES!B:B,0)),"")</f>
        <v/>
      </c>
      <c r="Q983" s="71" t="str">
        <f>IFERROR(INDEX(RECICLADORES!O:O,MATCH(D983,RECICLADORES!B:B,0)),"")</f>
        <v/>
      </c>
      <c r="R983" s="65"/>
      <c r="S983" s="65"/>
      <c r="T983" s="71"/>
      <c r="U983" s="71"/>
      <c r="V983" s="86"/>
    </row>
    <row r="984" spans="1:22" ht="16.5" thickTop="1" thickBot="1" x14ac:dyDescent="0.3">
      <c r="A984" s="35"/>
      <c r="C984" s="13"/>
      <c r="I984" s="23"/>
      <c r="J984" s="29" t="str">
        <f t="shared" si="13"/>
        <v/>
      </c>
      <c r="L984" s="71"/>
      <c r="M984" s="71"/>
      <c r="N984" s="71"/>
      <c r="O984" s="71"/>
      <c r="P984" s="71" t="str">
        <f>IFERROR(INDEX(RECICLADORES!C:C,MATCH(D984,RECICLADORES!B:B,0)),"")</f>
        <v/>
      </c>
      <c r="Q984" s="71" t="str">
        <f>IFERROR(INDEX(RECICLADORES!O:O,MATCH(D984,RECICLADORES!B:B,0)),"")</f>
        <v/>
      </c>
      <c r="R984" s="65"/>
      <c r="S984" s="65"/>
      <c r="T984" s="71"/>
      <c r="U984" s="71"/>
      <c r="V984" s="86"/>
    </row>
    <row r="985" spans="1:22" ht="16.5" thickTop="1" thickBot="1" x14ac:dyDescent="0.3">
      <c r="A985" s="34"/>
      <c r="C985" s="13"/>
      <c r="I985" s="23"/>
      <c r="J985" s="29" t="str">
        <f t="shared" si="13"/>
        <v/>
      </c>
      <c r="L985" s="71"/>
      <c r="M985" s="71"/>
      <c r="N985" s="71"/>
      <c r="O985" s="71"/>
      <c r="P985" s="71" t="str">
        <f>IFERROR(INDEX(RECICLADORES!C:C,MATCH(D985,RECICLADORES!B:B,0)),"")</f>
        <v/>
      </c>
      <c r="Q985" s="71" t="str">
        <f>IFERROR(INDEX(RECICLADORES!O:O,MATCH(D985,RECICLADORES!B:B,0)),"")</f>
        <v/>
      </c>
      <c r="R985" s="65"/>
      <c r="S985" s="65"/>
      <c r="T985" s="71"/>
      <c r="U985" s="71"/>
      <c r="V985" s="86"/>
    </row>
    <row r="986" spans="1:22" ht="16.5" thickTop="1" thickBot="1" x14ac:dyDescent="0.3">
      <c r="A986" s="35"/>
      <c r="C986" s="13"/>
      <c r="I986" s="23"/>
      <c r="J986" s="29" t="str">
        <f t="shared" si="13"/>
        <v/>
      </c>
      <c r="L986" s="71"/>
      <c r="M986" s="71"/>
      <c r="N986" s="71"/>
      <c r="O986" s="71"/>
      <c r="P986" s="71" t="str">
        <f>IFERROR(INDEX(RECICLADORES!C:C,MATCH(D986,RECICLADORES!B:B,0)),"")</f>
        <v/>
      </c>
      <c r="Q986" s="71" t="str">
        <f>IFERROR(INDEX(RECICLADORES!O:O,MATCH(D986,RECICLADORES!B:B,0)),"")</f>
        <v/>
      </c>
      <c r="R986" s="65"/>
      <c r="S986" s="65"/>
      <c r="T986" s="71"/>
      <c r="U986" s="71"/>
      <c r="V986" s="86"/>
    </row>
    <row r="987" spans="1:22" ht="16.5" thickTop="1" thickBot="1" x14ac:dyDescent="0.3">
      <c r="A987" s="34"/>
      <c r="C987" s="13"/>
      <c r="I987" s="23"/>
      <c r="J987" s="29" t="str">
        <f t="shared" si="13"/>
        <v/>
      </c>
      <c r="L987" s="71"/>
      <c r="M987" s="71"/>
      <c r="N987" s="71"/>
      <c r="O987" s="71"/>
      <c r="P987" s="71" t="str">
        <f>IFERROR(INDEX(RECICLADORES!C:C,MATCH(D987,RECICLADORES!B:B,0)),"")</f>
        <v/>
      </c>
      <c r="Q987" s="71" t="str">
        <f>IFERROR(INDEX(RECICLADORES!O:O,MATCH(D987,RECICLADORES!B:B,0)),"")</f>
        <v/>
      </c>
      <c r="R987" s="65"/>
      <c r="S987" s="65"/>
      <c r="T987" s="71"/>
      <c r="U987" s="71"/>
      <c r="V987" s="86"/>
    </row>
    <row r="988" spans="1:22" ht="16.5" thickTop="1" thickBot="1" x14ac:dyDescent="0.3">
      <c r="A988" s="35"/>
      <c r="C988" s="13"/>
      <c r="I988" s="23"/>
      <c r="J988" s="29" t="str">
        <f t="shared" si="13"/>
        <v/>
      </c>
      <c r="L988" s="71"/>
      <c r="M988" s="71"/>
      <c r="N988" s="71"/>
      <c r="O988" s="71"/>
      <c r="P988" s="71" t="str">
        <f>IFERROR(INDEX(RECICLADORES!C:C,MATCH(D988,RECICLADORES!B:B,0)),"")</f>
        <v/>
      </c>
      <c r="Q988" s="71" t="str">
        <f>IFERROR(INDEX(RECICLADORES!O:O,MATCH(D988,RECICLADORES!B:B,0)),"")</f>
        <v/>
      </c>
      <c r="R988" s="65"/>
      <c r="S988" s="65"/>
      <c r="T988" s="71"/>
      <c r="U988" s="71"/>
      <c r="V988" s="86"/>
    </row>
    <row r="989" spans="1:22" ht="16.5" thickTop="1" thickBot="1" x14ac:dyDescent="0.3">
      <c r="A989" s="34"/>
      <c r="C989" s="13"/>
      <c r="I989" s="23"/>
      <c r="J989" s="29" t="str">
        <f t="shared" si="13"/>
        <v/>
      </c>
      <c r="L989" s="71"/>
      <c r="M989" s="71"/>
      <c r="N989" s="71"/>
      <c r="O989" s="71"/>
      <c r="P989" s="71" t="str">
        <f>IFERROR(INDEX(RECICLADORES!C:C,MATCH(D989,RECICLADORES!B:B,0)),"")</f>
        <v/>
      </c>
      <c r="Q989" s="71" t="str">
        <f>IFERROR(INDEX(RECICLADORES!O:O,MATCH(D989,RECICLADORES!B:B,0)),"")</f>
        <v/>
      </c>
      <c r="R989" s="65"/>
      <c r="S989" s="65"/>
      <c r="T989" s="71"/>
      <c r="U989" s="71"/>
      <c r="V989" s="86"/>
    </row>
    <row r="990" spans="1:22" ht="16.5" thickTop="1" thickBot="1" x14ac:dyDescent="0.3">
      <c r="A990" s="35"/>
      <c r="C990" s="13"/>
      <c r="I990" s="23"/>
      <c r="J990" s="29" t="str">
        <f t="shared" si="13"/>
        <v/>
      </c>
      <c r="L990" s="71"/>
      <c r="M990" s="71"/>
      <c r="N990" s="71"/>
      <c r="O990" s="71"/>
      <c r="P990" s="71" t="str">
        <f>IFERROR(INDEX(RECICLADORES!C:C,MATCH(D990,RECICLADORES!B:B,0)),"")</f>
        <v/>
      </c>
      <c r="Q990" s="71" t="str">
        <f>IFERROR(INDEX(RECICLADORES!O:O,MATCH(D990,RECICLADORES!B:B,0)),"")</f>
        <v/>
      </c>
      <c r="R990" s="65"/>
      <c r="S990" s="65"/>
      <c r="T990" s="71"/>
      <c r="U990" s="71"/>
      <c r="V990" s="86"/>
    </row>
    <row r="991" spans="1:22" ht="16.5" thickTop="1" thickBot="1" x14ac:dyDescent="0.3">
      <c r="A991" s="34"/>
      <c r="C991" s="13"/>
      <c r="I991" s="23"/>
      <c r="J991" s="29" t="str">
        <f t="shared" si="13"/>
        <v/>
      </c>
      <c r="L991" s="71"/>
      <c r="M991" s="71"/>
      <c r="N991" s="71"/>
      <c r="O991" s="71"/>
      <c r="P991" s="71" t="str">
        <f>IFERROR(INDEX(RECICLADORES!C:C,MATCH(D991,RECICLADORES!B:B,0)),"")</f>
        <v/>
      </c>
      <c r="Q991" s="71" t="str">
        <f>IFERROR(INDEX(RECICLADORES!O:O,MATCH(D991,RECICLADORES!B:B,0)),"")</f>
        <v/>
      </c>
      <c r="R991" s="65"/>
      <c r="S991" s="65"/>
      <c r="T991" s="71"/>
      <c r="U991" s="71"/>
      <c r="V991" s="86"/>
    </row>
    <row r="992" spans="1:22" ht="16.5" thickTop="1" thickBot="1" x14ac:dyDescent="0.3">
      <c r="A992" s="35"/>
      <c r="C992" s="13"/>
      <c r="I992" s="23"/>
      <c r="J992" s="29" t="str">
        <f t="shared" si="13"/>
        <v/>
      </c>
      <c r="L992" s="71"/>
      <c r="M992" s="71"/>
      <c r="N992" s="71"/>
      <c r="O992" s="71"/>
      <c r="P992" s="71" t="str">
        <f>IFERROR(INDEX(RECICLADORES!C:C,MATCH(D992,RECICLADORES!B:B,0)),"")</f>
        <v/>
      </c>
      <c r="Q992" s="71" t="str">
        <f>IFERROR(INDEX(RECICLADORES!O:O,MATCH(D992,RECICLADORES!B:B,0)),"")</f>
        <v/>
      </c>
      <c r="R992" s="65"/>
      <c r="S992" s="65"/>
      <c r="T992" s="71"/>
      <c r="U992" s="71"/>
      <c r="V992" s="86"/>
    </row>
    <row r="993" spans="1:22" ht="16.5" thickTop="1" thickBot="1" x14ac:dyDescent="0.3">
      <c r="A993" s="34"/>
      <c r="C993" s="13"/>
      <c r="I993" s="23"/>
      <c r="J993" s="29" t="str">
        <f t="shared" si="13"/>
        <v/>
      </c>
      <c r="L993" s="71"/>
      <c r="M993" s="71"/>
      <c r="N993" s="71"/>
      <c r="O993" s="71"/>
      <c r="P993" s="71" t="str">
        <f>IFERROR(INDEX(RECICLADORES!C:C,MATCH(D993,RECICLADORES!B:B,0)),"")</f>
        <v/>
      </c>
      <c r="Q993" s="71" t="str">
        <f>IFERROR(INDEX(RECICLADORES!O:O,MATCH(D993,RECICLADORES!B:B,0)),"")</f>
        <v/>
      </c>
      <c r="R993" s="65"/>
      <c r="S993" s="65"/>
      <c r="T993" s="71"/>
      <c r="U993" s="71"/>
      <c r="V993" s="86"/>
    </row>
    <row r="994" spans="1:22" ht="16.5" thickTop="1" thickBot="1" x14ac:dyDescent="0.3">
      <c r="A994" s="35"/>
      <c r="C994" s="13"/>
      <c r="I994" s="23"/>
      <c r="J994" s="29" t="str">
        <f t="shared" si="13"/>
        <v/>
      </c>
      <c r="L994" s="71"/>
      <c r="M994" s="71"/>
      <c r="N994" s="71"/>
      <c r="O994" s="71"/>
      <c r="P994" s="71" t="str">
        <f>IFERROR(INDEX(RECICLADORES!C:C,MATCH(D994,RECICLADORES!B:B,0)),"")</f>
        <v/>
      </c>
      <c r="Q994" s="71" t="str">
        <f>IFERROR(INDEX(RECICLADORES!O:O,MATCH(D994,RECICLADORES!B:B,0)),"")</f>
        <v/>
      </c>
      <c r="R994" s="65"/>
      <c r="S994" s="65"/>
      <c r="T994" s="71"/>
      <c r="U994" s="71"/>
      <c r="V994" s="86"/>
    </row>
    <row r="995" spans="1:22" ht="16.5" thickTop="1" thickBot="1" x14ac:dyDescent="0.3">
      <c r="A995" s="34"/>
      <c r="C995" s="13"/>
      <c r="I995" s="23"/>
      <c r="J995" s="29" t="str">
        <f t="shared" si="13"/>
        <v/>
      </c>
      <c r="L995" s="71"/>
      <c r="M995" s="71"/>
      <c r="N995" s="71"/>
      <c r="O995" s="71"/>
      <c r="P995" s="71" t="str">
        <f>IFERROR(INDEX(RECICLADORES!C:C,MATCH(D995,RECICLADORES!B:B,0)),"")</f>
        <v/>
      </c>
      <c r="Q995" s="71" t="str">
        <f>IFERROR(INDEX(RECICLADORES!O:O,MATCH(D995,RECICLADORES!B:B,0)),"")</f>
        <v/>
      </c>
      <c r="R995" s="65"/>
      <c r="S995" s="65"/>
      <c r="T995" s="71"/>
      <c r="U995" s="71"/>
      <c r="V995" s="86"/>
    </row>
    <row r="996" spans="1:22" ht="16.5" thickTop="1" thickBot="1" x14ac:dyDescent="0.3">
      <c r="A996" s="35"/>
      <c r="C996" s="13"/>
      <c r="I996" s="23"/>
      <c r="J996" s="29" t="str">
        <f t="shared" si="13"/>
        <v/>
      </c>
      <c r="L996" s="71"/>
      <c r="M996" s="71"/>
      <c r="N996" s="71"/>
      <c r="O996" s="71"/>
      <c r="P996" s="71" t="str">
        <f>IFERROR(INDEX(RECICLADORES!C:C,MATCH(D996,RECICLADORES!B:B,0)),"")</f>
        <v/>
      </c>
      <c r="Q996" s="71" t="str">
        <f>IFERROR(INDEX(RECICLADORES!O:O,MATCH(D996,RECICLADORES!B:B,0)),"")</f>
        <v/>
      </c>
      <c r="R996" s="65"/>
      <c r="S996" s="65"/>
      <c r="T996" s="71"/>
      <c r="U996" s="71"/>
      <c r="V996" s="86"/>
    </row>
    <row r="997" spans="1:22" ht="16.5" thickTop="1" thickBot="1" x14ac:dyDescent="0.3">
      <c r="A997" s="34"/>
      <c r="C997" s="13"/>
      <c r="I997" s="23"/>
      <c r="J997" s="29" t="str">
        <f t="shared" si="13"/>
        <v/>
      </c>
      <c r="L997" s="71"/>
      <c r="M997" s="71"/>
      <c r="N997" s="71"/>
      <c r="O997" s="71"/>
      <c r="P997" s="71" t="str">
        <f>IFERROR(INDEX(RECICLADORES!C:C,MATCH(D997,RECICLADORES!B:B,0)),"")</f>
        <v/>
      </c>
      <c r="Q997" s="71" t="str">
        <f>IFERROR(INDEX(RECICLADORES!O:O,MATCH(D997,RECICLADORES!B:B,0)),"")</f>
        <v/>
      </c>
      <c r="R997" s="65"/>
      <c r="S997" s="65"/>
      <c r="T997" s="71"/>
      <c r="U997" s="71"/>
      <c r="V997" s="86"/>
    </row>
    <row r="998" spans="1:22" ht="16.5" thickTop="1" thickBot="1" x14ac:dyDescent="0.3">
      <c r="A998" s="35"/>
      <c r="C998" s="13"/>
      <c r="I998" s="23"/>
      <c r="J998" s="29" t="str">
        <f t="shared" si="13"/>
        <v/>
      </c>
      <c r="L998" s="71"/>
      <c r="M998" s="71"/>
      <c r="N998" s="71"/>
      <c r="O998" s="71"/>
      <c r="P998" s="71" t="str">
        <f>IFERROR(INDEX(RECICLADORES!C:C,MATCH(D998,RECICLADORES!B:B,0)),"")</f>
        <v/>
      </c>
      <c r="Q998" s="71" t="str">
        <f>IFERROR(INDEX(RECICLADORES!O:O,MATCH(D998,RECICLADORES!B:B,0)),"")</f>
        <v/>
      </c>
      <c r="R998" s="65"/>
      <c r="S998" s="65"/>
      <c r="T998" s="71"/>
      <c r="U998" s="71"/>
      <c r="V998" s="86"/>
    </row>
    <row r="999" spans="1:22" ht="16.5" thickTop="1" thickBot="1" x14ac:dyDescent="0.3">
      <c r="A999" s="34"/>
      <c r="C999" s="13"/>
      <c r="I999" s="23"/>
      <c r="J999" s="29" t="str">
        <f t="shared" si="13"/>
        <v/>
      </c>
      <c r="L999" s="71"/>
      <c r="M999" s="71"/>
      <c r="N999" s="71"/>
      <c r="O999" s="71"/>
      <c r="P999" s="71" t="str">
        <f>IFERROR(INDEX(RECICLADORES!C:C,MATCH(D999,RECICLADORES!B:B,0)),"")</f>
        <v/>
      </c>
      <c r="Q999" s="71" t="str">
        <f>IFERROR(INDEX(RECICLADORES!O:O,MATCH(D999,RECICLADORES!B:B,0)),"")</f>
        <v/>
      </c>
      <c r="R999" s="65"/>
      <c r="S999" s="65"/>
      <c r="T999" s="71"/>
      <c r="U999" s="71"/>
      <c r="V999" s="86"/>
    </row>
    <row r="1000" spans="1:22" ht="16.5" thickTop="1" thickBot="1" x14ac:dyDescent="0.3">
      <c r="A1000" s="35"/>
      <c r="C1000" s="13"/>
      <c r="I1000" s="23"/>
      <c r="J1000" s="29" t="str">
        <f t="shared" si="13"/>
        <v/>
      </c>
      <c r="L1000" s="71"/>
      <c r="M1000" s="71"/>
      <c r="N1000" s="71"/>
      <c r="O1000" s="71"/>
      <c r="P1000" s="71" t="str">
        <f>IFERROR(INDEX(RECICLADORES!C:C,MATCH(D1000,RECICLADORES!B:B,0)),"")</f>
        <v/>
      </c>
      <c r="Q1000" s="71" t="str">
        <f>IFERROR(INDEX(RECICLADORES!O:O,MATCH(D1000,RECICLADORES!B:B,0)),"")</f>
        <v/>
      </c>
      <c r="R1000" s="65"/>
      <c r="S1000" s="65"/>
      <c r="T1000" s="71"/>
      <c r="U1000" s="71"/>
      <c r="V1000" s="86"/>
    </row>
    <row r="1001" spans="1:22" ht="15.75" thickTop="1" x14ac:dyDescent="0.25">
      <c r="A1001" s="34"/>
      <c r="C1001" s="13"/>
      <c r="I1001" s="23"/>
      <c r="J1001" s="29" t="str">
        <f t="shared" si="13"/>
        <v/>
      </c>
      <c r="L1001" s="103"/>
      <c r="P1001" t="str">
        <f>IFERROR(INDEX(RECICLADORES!C:C,MATCH(D1001,RECICLADORES!B:B,0)),"")</f>
        <v/>
      </c>
      <c r="Q1001" t="str">
        <f>IFERROR(INDEX(RECICLADORES!O:O,MATCH(D1001,RECICLADORES!B:B,0)),"")</f>
        <v/>
      </c>
      <c r="S1001" s="28"/>
      <c r="V1001" s="86"/>
    </row>
    <row r="1002" spans="1:22" x14ac:dyDescent="0.25">
      <c r="A1002" s="35"/>
      <c r="C1002" s="13"/>
      <c r="I1002" s="23"/>
      <c r="J1002" s="29" t="str">
        <f t="shared" si="13"/>
        <v/>
      </c>
      <c r="L1002" s="103"/>
      <c r="P1002" t="str">
        <f>IFERROR(INDEX(RECICLADORES!C:C,MATCH(D1002,RECICLADORES!B:B,0)),"")</f>
        <v/>
      </c>
      <c r="Q1002" t="str">
        <f>IFERROR(INDEX(RECICLADORES!O:O,MATCH(D1002,RECICLADORES!B:B,0)),"")</f>
        <v/>
      </c>
      <c r="S1002" s="28"/>
      <c r="V1002" s="86"/>
    </row>
    <row r="1003" spans="1:22" x14ac:dyDescent="0.25">
      <c r="A1003" s="34"/>
      <c r="C1003" s="13"/>
      <c r="I1003" s="23"/>
      <c r="J1003" s="29" t="str">
        <f t="shared" ref="J1003:J1066" si="14">IF(C1003="","",INT((DAY(C1003)-1)/7)+1)</f>
        <v/>
      </c>
      <c r="L1003" s="103"/>
      <c r="P1003" t="str">
        <f>IFERROR(INDEX(RECICLADORES!C:C,MATCH(D1003,RECICLADORES!B:B,0)),"")</f>
        <v/>
      </c>
      <c r="Q1003" t="str">
        <f>IFERROR(INDEX(RECICLADORES!O:O,MATCH(D1003,RECICLADORES!B:B,0)),"")</f>
        <v/>
      </c>
      <c r="S1003" s="28"/>
      <c r="V1003" s="86"/>
    </row>
    <row r="1004" spans="1:22" x14ac:dyDescent="0.25">
      <c r="A1004" s="35"/>
      <c r="C1004" s="13"/>
      <c r="I1004" s="23"/>
      <c r="J1004" s="29" t="str">
        <f t="shared" si="14"/>
        <v/>
      </c>
      <c r="L1004" s="103"/>
      <c r="P1004" t="str">
        <f>IFERROR(INDEX(RECICLADORES!C:C,MATCH(D1004,RECICLADORES!B:B,0)),"")</f>
        <v/>
      </c>
      <c r="Q1004" t="str">
        <f>IFERROR(INDEX(RECICLADORES!O:O,MATCH(D1004,RECICLADORES!B:B,0)),"")</f>
        <v/>
      </c>
      <c r="S1004" s="28"/>
      <c r="V1004" s="86"/>
    </row>
    <row r="1005" spans="1:22" x14ac:dyDescent="0.25">
      <c r="A1005" s="35"/>
      <c r="C1005" s="13"/>
      <c r="I1005" s="23"/>
      <c r="J1005" s="29" t="str">
        <f t="shared" si="14"/>
        <v/>
      </c>
      <c r="L1005" s="103"/>
      <c r="P1005" t="str">
        <f>IFERROR(INDEX(RECICLADORES!C:C,MATCH(D1005,RECICLADORES!B:B,0)),"")</f>
        <v/>
      </c>
      <c r="Q1005" t="str">
        <f>IFERROR(INDEX(RECICLADORES!O:O,MATCH(D1005,RECICLADORES!B:B,0)),"")</f>
        <v/>
      </c>
      <c r="S1005" s="28"/>
      <c r="V1005" s="86"/>
    </row>
    <row r="1006" spans="1:22" x14ac:dyDescent="0.25">
      <c r="A1006" s="34"/>
      <c r="C1006" s="13"/>
      <c r="I1006" s="23"/>
      <c r="J1006" s="29" t="str">
        <f t="shared" si="14"/>
        <v/>
      </c>
      <c r="L1006" s="103"/>
      <c r="P1006" t="str">
        <f>IFERROR(INDEX(RECICLADORES!C:C,MATCH(D1006,RECICLADORES!B:B,0)),"")</f>
        <v/>
      </c>
      <c r="Q1006" t="str">
        <f>IFERROR(INDEX(RECICLADORES!O:O,MATCH(D1006,RECICLADORES!B:B,0)),"")</f>
        <v/>
      </c>
      <c r="S1006" s="28"/>
      <c r="V1006" s="86"/>
    </row>
    <row r="1007" spans="1:22" x14ac:dyDescent="0.25">
      <c r="A1007" s="35"/>
      <c r="C1007" s="13"/>
      <c r="I1007" s="23"/>
      <c r="J1007" s="29" t="str">
        <f t="shared" si="14"/>
        <v/>
      </c>
      <c r="L1007" s="103"/>
      <c r="P1007" t="str">
        <f>IFERROR(INDEX(RECICLADORES!C:C,MATCH(D1007,RECICLADORES!B:B,0)),"")</f>
        <v/>
      </c>
      <c r="Q1007" t="str">
        <f>IFERROR(INDEX(RECICLADORES!O:O,MATCH(D1007,RECICLADORES!B:B,0)),"")</f>
        <v/>
      </c>
      <c r="S1007" s="28"/>
      <c r="V1007" s="86"/>
    </row>
    <row r="1008" spans="1:22" x14ac:dyDescent="0.25">
      <c r="A1008" s="34"/>
      <c r="C1008" s="13"/>
      <c r="I1008" s="23"/>
      <c r="J1008" s="29" t="str">
        <f t="shared" si="14"/>
        <v/>
      </c>
      <c r="L1008" s="103"/>
      <c r="P1008" t="str">
        <f>IFERROR(INDEX(RECICLADORES!C:C,MATCH(D1008,RECICLADORES!B:B,0)),"")</f>
        <v/>
      </c>
      <c r="Q1008" t="str">
        <f>IFERROR(INDEX(RECICLADORES!O:O,MATCH(D1008,RECICLADORES!B:B,0)),"")</f>
        <v/>
      </c>
      <c r="S1008" s="28"/>
      <c r="V1008" s="86"/>
    </row>
    <row r="1009" spans="1:22" x14ac:dyDescent="0.25">
      <c r="A1009" s="35"/>
      <c r="C1009" s="13"/>
      <c r="I1009" s="23"/>
      <c r="J1009" s="29" t="str">
        <f t="shared" si="14"/>
        <v/>
      </c>
      <c r="L1009" s="103"/>
      <c r="P1009" t="str">
        <f>IFERROR(INDEX(RECICLADORES!C:C,MATCH(D1009,RECICLADORES!B:B,0)),"")</f>
        <v/>
      </c>
      <c r="Q1009" t="str">
        <f>IFERROR(INDEX(RECICLADORES!O:O,MATCH(D1009,RECICLADORES!B:B,0)),"")</f>
        <v/>
      </c>
      <c r="S1009" s="28"/>
      <c r="V1009" s="86"/>
    </row>
    <row r="1010" spans="1:22" x14ac:dyDescent="0.25">
      <c r="A1010" s="34"/>
      <c r="C1010" s="13"/>
      <c r="I1010" s="23"/>
      <c r="J1010" s="29" t="str">
        <f t="shared" si="14"/>
        <v/>
      </c>
      <c r="L1010" s="103"/>
      <c r="P1010" t="str">
        <f>IFERROR(INDEX(RECICLADORES!C:C,MATCH(D1010,RECICLADORES!B:B,0)),"")</f>
        <v/>
      </c>
      <c r="Q1010" t="str">
        <f>IFERROR(INDEX(RECICLADORES!O:O,MATCH(D1010,RECICLADORES!B:B,0)),"")</f>
        <v/>
      </c>
      <c r="S1010" s="28"/>
      <c r="V1010" s="86"/>
    </row>
    <row r="1011" spans="1:22" x14ac:dyDescent="0.25">
      <c r="A1011" s="35"/>
      <c r="C1011" s="13"/>
      <c r="I1011" s="23"/>
      <c r="J1011" s="29" t="str">
        <f t="shared" si="14"/>
        <v/>
      </c>
      <c r="L1011" s="103"/>
      <c r="P1011" t="str">
        <f>IFERROR(INDEX(RECICLADORES!C:C,MATCH(D1011,RECICLADORES!B:B,0)),"")</f>
        <v/>
      </c>
      <c r="Q1011" t="str">
        <f>IFERROR(INDEX(RECICLADORES!O:O,MATCH(D1011,RECICLADORES!B:B,0)),"")</f>
        <v/>
      </c>
      <c r="S1011" s="28"/>
      <c r="V1011" s="86"/>
    </row>
    <row r="1012" spans="1:22" x14ac:dyDescent="0.25">
      <c r="A1012" s="34"/>
      <c r="C1012" s="13"/>
      <c r="I1012" s="23"/>
      <c r="J1012" s="29" t="str">
        <f t="shared" si="14"/>
        <v/>
      </c>
      <c r="L1012" s="103"/>
      <c r="P1012" t="str">
        <f>IFERROR(INDEX(RECICLADORES!C:C,MATCH(D1012,RECICLADORES!B:B,0)),"")</f>
        <v/>
      </c>
      <c r="Q1012" t="str">
        <f>IFERROR(INDEX(RECICLADORES!O:O,MATCH(D1012,RECICLADORES!B:B,0)),"")</f>
        <v/>
      </c>
      <c r="S1012" s="28"/>
      <c r="V1012" s="86"/>
    </row>
    <row r="1013" spans="1:22" x14ac:dyDescent="0.25">
      <c r="A1013" s="35"/>
      <c r="C1013" s="13"/>
      <c r="I1013" s="23"/>
      <c r="J1013" s="29" t="str">
        <f t="shared" si="14"/>
        <v/>
      </c>
      <c r="L1013" s="103"/>
      <c r="P1013" t="str">
        <f>IFERROR(INDEX(RECICLADORES!C:C,MATCH(D1013,RECICLADORES!B:B,0)),"")</f>
        <v/>
      </c>
      <c r="Q1013" t="str">
        <f>IFERROR(INDEX(RECICLADORES!O:O,MATCH(D1013,RECICLADORES!B:B,0)),"")</f>
        <v/>
      </c>
      <c r="S1013" s="28"/>
      <c r="V1013" s="86"/>
    </row>
    <row r="1014" spans="1:22" x14ac:dyDescent="0.25">
      <c r="A1014" s="34"/>
      <c r="C1014" s="13"/>
      <c r="I1014" s="23"/>
      <c r="J1014" s="29" t="str">
        <f t="shared" si="14"/>
        <v/>
      </c>
      <c r="L1014" s="103"/>
      <c r="P1014" t="str">
        <f>IFERROR(INDEX(RECICLADORES!C:C,MATCH(D1014,RECICLADORES!B:B,0)),"")</f>
        <v/>
      </c>
      <c r="Q1014" t="str">
        <f>IFERROR(INDEX(RECICLADORES!O:O,MATCH(D1014,RECICLADORES!B:B,0)),"")</f>
        <v/>
      </c>
      <c r="S1014" s="28"/>
      <c r="V1014" s="86"/>
    </row>
    <row r="1015" spans="1:22" x14ac:dyDescent="0.25">
      <c r="A1015" s="35"/>
      <c r="C1015" s="13"/>
      <c r="I1015" s="23"/>
      <c r="J1015" s="29" t="str">
        <f t="shared" si="14"/>
        <v/>
      </c>
      <c r="L1015" s="103"/>
      <c r="P1015" t="str">
        <f>IFERROR(INDEX(RECICLADORES!C:C,MATCH(D1015,RECICLADORES!B:B,0)),"")</f>
        <v/>
      </c>
      <c r="Q1015" t="str">
        <f>IFERROR(INDEX(RECICLADORES!O:O,MATCH(D1015,RECICLADORES!B:B,0)),"")</f>
        <v/>
      </c>
      <c r="S1015" s="28"/>
      <c r="V1015" s="86"/>
    </row>
    <row r="1016" spans="1:22" x14ac:dyDescent="0.25">
      <c r="A1016" s="34"/>
      <c r="C1016" s="13"/>
      <c r="I1016" s="23"/>
      <c r="J1016" s="29" t="str">
        <f t="shared" si="14"/>
        <v/>
      </c>
      <c r="L1016" s="103"/>
      <c r="P1016" t="str">
        <f>IFERROR(INDEX(RECICLADORES!C:C,MATCH(D1016,RECICLADORES!B:B,0)),"")</f>
        <v/>
      </c>
      <c r="Q1016" t="str">
        <f>IFERROR(INDEX(RECICLADORES!O:O,MATCH(D1016,RECICLADORES!B:B,0)),"")</f>
        <v/>
      </c>
      <c r="S1016" s="28"/>
      <c r="V1016" s="86"/>
    </row>
    <row r="1017" spans="1:22" x14ac:dyDescent="0.25">
      <c r="A1017" s="35"/>
      <c r="C1017" s="13"/>
      <c r="I1017" s="23"/>
      <c r="J1017" s="29" t="str">
        <f t="shared" si="14"/>
        <v/>
      </c>
      <c r="L1017" s="103"/>
      <c r="P1017" t="str">
        <f>IFERROR(INDEX(RECICLADORES!C:C,MATCH(D1017,RECICLADORES!B:B,0)),"")</f>
        <v/>
      </c>
      <c r="Q1017" t="str">
        <f>IFERROR(INDEX(RECICLADORES!O:O,MATCH(D1017,RECICLADORES!B:B,0)),"")</f>
        <v/>
      </c>
      <c r="S1017" s="28"/>
      <c r="V1017" s="86"/>
    </row>
    <row r="1018" spans="1:22" x14ac:dyDescent="0.25">
      <c r="A1018" s="34"/>
      <c r="C1018" s="13"/>
      <c r="I1018" s="23"/>
      <c r="J1018" s="29" t="str">
        <f t="shared" si="14"/>
        <v/>
      </c>
      <c r="L1018" s="103"/>
      <c r="P1018" t="str">
        <f>IFERROR(INDEX(RECICLADORES!C:C,MATCH(D1018,RECICLADORES!B:B,0)),"")</f>
        <v/>
      </c>
      <c r="Q1018" t="str">
        <f>IFERROR(INDEX(RECICLADORES!O:O,MATCH(D1018,RECICLADORES!B:B,0)),"")</f>
        <v/>
      </c>
      <c r="S1018" s="28"/>
      <c r="V1018" s="86"/>
    </row>
    <row r="1019" spans="1:22" x14ac:dyDescent="0.25">
      <c r="A1019" s="35"/>
      <c r="C1019" s="13"/>
      <c r="I1019" s="23"/>
      <c r="J1019" s="29" t="str">
        <f t="shared" si="14"/>
        <v/>
      </c>
      <c r="L1019" s="103"/>
      <c r="P1019" t="str">
        <f>IFERROR(INDEX(RECICLADORES!C:C,MATCH(D1019,RECICLADORES!B:B,0)),"")</f>
        <v/>
      </c>
      <c r="Q1019" t="str">
        <f>IFERROR(INDEX(RECICLADORES!O:O,MATCH(D1019,RECICLADORES!B:B,0)),"")</f>
        <v/>
      </c>
      <c r="S1019" s="28"/>
      <c r="V1019" s="86"/>
    </row>
    <row r="1020" spans="1:22" x14ac:dyDescent="0.25">
      <c r="A1020" s="34"/>
      <c r="C1020" s="13"/>
      <c r="I1020" s="23"/>
      <c r="J1020" s="29" t="str">
        <f t="shared" si="14"/>
        <v/>
      </c>
      <c r="L1020" s="103"/>
      <c r="P1020" t="str">
        <f>IFERROR(INDEX(RECICLADORES!C:C,MATCH(D1020,RECICLADORES!B:B,0)),"")</f>
        <v/>
      </c>
      <c r="Q1020" t="str">
        <f>IFERROR(INDEX(RECICLADORES!O:O,MATCH(D1020,RECICLADORES!B:B,0)),"")</f>
        <v/>
      </c>
      <c r="S1020" s="28"/>
      <c r="V1020" s="86"/>
    </row>
    <row r="1021" spans="1:22" x14ac:dyDescent="0.25">
      <c r="A1021" s="35"/>
      <c r="C1021" s="13"/>
      <c r="I1021" s="23"/>
      <c r="J1021" s="29" t="str">
        <f t="shared" si="14"/>
        <v/>
      </c>
      <c r="L1021" s="103"/>
      <c r="P1021" t="str">
        <f>IFERROR(INDEX(RECICLADORES!C:C,MATCH(D1021,RECICLADORES!B:B,0)),"")</f>
        <v/>
      </c>
      <c r="Q1021" t="str">
        <f>IFERROR(INDEX(RECICLADORES!O:O,MATCH(D1021,RECICLADORES!B:B,0)),"")</f>
        <v/>
      </c>
      <c r="S1021" s="28"/>
      <c r="V1021" s="86"/>
    </row>
    <row r="1022" spans="1:22" x14ac:dyDescent="0.25">
      <c r="A1022" s="34"/>
      <c r="C1022" s="13"/>
      <c r="I1022" s="23"/>
      <c r="J1022" s="29" t="str">
        <f t="shared" si="14"/>
        <v/>
      </c>
      <c r="L1022" s="103"/>
      <c r="P1022" t="str">
        <f>IFERROR(INDEX(RECICLADORES!C:C,MATCH(D1022,RECICLADORES!B:B,0)),"")</f>
        <v/>
      </c>
      <c r="Q1022" t="str">
        <f>IFERROR(INDEX(RECICLADORES!O:O,MATCH(D1022,RECICLADORES!B:B,0)),"")</f>
        <v/>
      </c>
      <c r="S1022" s="28"/>
      <c r="V1022" s="86"/>
    </row>
    <row r="1023" spans="1:22" x14ac:dyDescent="0.25">
      <c r="A1023" s="35"/>
      <c r="C1023" s="13"/>
      <c r="I1023" s="23"/>
      <c r="J1023" s="29" t="str">
        <f t="shared" si="14"/>
        <v/>
      </c>
      <c r="L1023" s="103"/>
      <c r="P1023" t="str">
        <f>IFERROR(INDEX(RECICLADORES!C:C,MATCH(D1023,RECICLADORES!B:B,0)),"")</f>
        <v/>
      </c>
      <c r="Q1023" t="str">
        <f>IFERROR(INDEX(RECICLADORES!O:O,MATCH(D1023,RECICLADORES!B:B,0)),"")</f>
        <v/>
      </c>
      <c r="S1023" s="28"/>
      <c r="V1023" s="86"/>
    </row>
    <row r="1024" spans="1:22" x14ac:dyDescent="0.25">
      <c r="A1024" s="34"/>
      <c r="C1024" s="13"/>
      <c r="I1024" s="23"/>
      <c r="J1024" s="29" t="str">
        <f t="shared" si="14"/>
        <v/>
      </c>
      <c r="L1024" s="103"/>
      <c r="P1024" t="str">
        <f>IFERROR(INDEX(RECICLADORES!C:C,MATCH(D1024,RECICLADORES!B:B,0)),"")</f>
        <v/>
      </c>
      <c r="Q1024" t="str">
        <f>IFERROR(INDEX(RECICLADORES!O:O,MATCH(D1024,RECICLADORES!B:B,0)),"")</f>
        <v/>
      </c>
      <c r="S1024" s="28"/>
      <c r="V1024" s="86"/>
    </row>
    <row r="1025" spans="1:22" x14ac:dyDescent="0.25">
      <c r="A1025" s="35"/>
      <c r="C1025" s="13"/>
      <c r="I1025" s="23"/>
      <c r="J1025" s="29" t="str">
        <f t="shared" si="14"/>
        <v/>
      </c>
      <c r="L1025" s="103"/>
      <c r="P1025" t="str">
        <f>IFERROR(INDEX(RECICLADORES!C:C,MATCH(D1025,RECICLADORES!B:B,0)),"")</f>
        <v/>
      </c>
      <c r="Q1025" t="str">
        <f>IFERROR(INDEX(RECICLADORES!O:O,MATCH(D1025,RECICLADORES!B:B,0)),"")</f>
        <v/>
      </c>
      <c r="S1025" s="28"/>
      <c r="V1025" s="86"/>
    </row>
    <row r="1026" spans="1:22" x14ac:dyDescent="0.25">
      <c r="A1026" s="34"/>
      <c r="C1026" s="13"/>
      <c r="I1026" s="23"/>
      <c r="J1026" s="29" t="str">
        <f t="shared" si="14"/>
        <v/>
      </c>
      <c r="L1026" s="103"/>
      <c r="P1026" t="str">
        <f>IFERROR(INDEX(RECICLADORES!C:C,MATCH(D1026,RECICLADORES!B:B,0)),"")</f>
        <v/>
      </c>
      <c r="Q1026" t="str">
        <f>IFERROR(INDEX(RECICLADORES!O:O,MATCH(D1026,RECICLADORES!B:B,0)),"")</f>
        <v/>
      </c>
      <c r="S1026" s="28"/>
      <c r="V1026" s="86"/>
    </row>
    <row r="1027" spans="1:22" x14ac:dyDescent="0.25">
      <c r="A1027" s="35"/>
      <c r="C1027" s="13"/>
      <c r="I1027" s="23"/>
      <c r="J1027" s="29" t="str">
        <f t="shared" si="14"/>
        <v/>
      </c>
      <c r="L1027" s="103"/>
      <c r="P1027" t="str">
        <f>IFERROR(INDEX(RECICLADORES!C:C,MATCH(D1027,RECICLADORES!B:B,0)),"")</f>
        <v/>
      </c>
      <c r="Q1027" t="str">
        <f>IFERROR(INDEX(RECICLADORES!O:O,MATCH(D1027,RECICLADORES!B:B,0)),"")</f>
        <v/>
      </c>
      <c r="S1027" s="28"/>
      <c r="V1027" s="86"/>
    </row>
    <row r="1028" spans="1:22" x14ac:dyDescent="0.25">
      <c r="A1028" s="34"/>
      <c r="C1028" s="13"/>
      <c r="I1028" s="23"/>
      <c r="J1028" s="29" t="str">
        <f t="shared" si="14"/>
        <v/>
      </c>
      <c r="L1028" s="103"/>
      <c r="P1028" t="str">
        <f>IFERROR(INDEX(RECICLADORES!C:C,MATCH(D1028,RECICLADORES!B:B,0)),"")</f>
        <v/>
      </c>
      <c r="Q1028" t="str">
        <f>IFERROR(INDEX(RECICLADORES!O:O,MATCH(D1028,RECICLADORES!B:B,0)),"")</f>
        <v/>
      </c>
      <c r="S1028" s="28"/>
      <c r="V1028" s="86"/>
    </row>
    <row r="1029" spans="1:22" x14ac:dyDescent="0.25">
      <c r="A1029" s="35"/>
      <c r="C1029" s="13"/>
      <c r="I1029" s="23"/>
      <c r="J1029" s="29" t="str">
        <f t="shared" si="14"/>
        <v/>
      </c>
      <c r="L1029" s="103"/>
      <c r="P1029" t="str">
        <f>IFERROR(INDEX(RECICLADORES!C:C,MATCH(D1029,RECICLADORES!B:B,0)),"")</f>
        <v/>
      </c>
      <c r="Q1029" t="str">
        <f>IFERROR(INDEX(RECICLADORES!O:O,MATCH(D1029,RECICLADORES!B:B,0)),"")</f>
        <v/>
      </c>
      <c r="S1029" s="28"/>
      <c r="V1029" s="86"/>
    </row>
    <row r="1030" spans="1:22" x14ac:dyDescent="0.25">
      <c r="A1030" s="34"/>
      <c r="C1030" s="13"/>
      <c r="I1030" s="23"/>
      <c r="J1030" s="29" t="str">
        <f t="shared" si="14"/>
        <v/>
      </c>
      <c r="L1030" s="103"/>
      <c r="P1030" t="str">
        <f>IFERROR(INDEX(RECICLADORES!C:C,MATCH(D1030,RECICLADORES!B:B,0)),"")</f>
        <v/>
      </c>
      <c r="Q1030" t="str">
        <f>IFERROR(INDEX(RECICLADORES!O:O,MATCH(D1030,RECICLADORES!B:B,0)),"")</f>
        <v/>
      </c>
      <c r="S1030" s="28"/>
      <c r="V1030" s="86"/>
    </row>
    <row r="1031" spans="1:22" x14ac:dyDescent="0.25">
      <c r="A1031" s="35"/>
      <c r="C1031" s="13"/>
      <c r="I1031" s="23"/>
      <c r="J1031" s="29" t="str">
        <f t="shared" si="14"/>
        <v/>
      </c>
      <c r="L1031" s="103"/>
      <c r="P1031" t="str">
        <f>IFERROR(INDEX(RECICLADORES!C:C,MATCH(D1031,RECICLADORES!B:B,0)),"")</f>
        <v/>
      </c>
      <c r="Q1031" t="str">
        <f>IFERROR(INDEX(RECICLADORES!O:O,MATCH(D1031,RECICLADORES!B:B,0)),"")</f>
        <v/>
      </c>
      <c r="S1031" s="28"/>
      <c r="V1031" s="86"/>
    </row>
    <row r="1032" spans="1:22" x14ac:dyDescent="0.25">
      <c r="A1032" s="34"/>
      <c r="C1032" s="13"/>
      <c r="I1032" s="23"/>
      <c r="J1032" s="29" t="str">
        <f t="shared" si="14"/>
        <v/>
      </c>
      <c r="L1032" s="103"/>
      <c r="P1032" t="str">
        <f>IFERROR(INDEX(RECICLADORES!C:C,MATCH(D1032,RECICLADORES!B:B,0)),"")</f>
        <v/>
      </c>
      <c r="Q1032" t="str">
        <f>IFERROR(INDEX(RECICLADORES!O:O,MATCH(D1032,RECICLADORES!B:B,0)),"")</f>
        <v/>
      </c>
      <c r="S1032" s="28"/>
      <c r="V1032" s="86"/>
    </row>
    <row r="1033" spans="1:22" x14ac:dyDescent="0.25">
      <c r="A1033" s="35"/>
      <c r="C1033" s="13"/>
      <c r="I1033" s="23"/>
      <c r="J1033" s="29" t="str">
        <f t="shared" si="14"/>
        <v/>
      </c>
      <c r="L1033" s="103"/>
      <c r="P1033" t="str">
        <f>IFERROR(INDEX(RECICLADORES!C:C,MATCH(D1033,RECICLADORES!B:B,0)),"")</f>
        <v/>
      </c>
      <c r="Q1033" t="str">
        <f>IFERROR(INDEX(RECICLADORES!O:O,MATCH(D1033,RECICLADORES!B:B,0)),"")</f>
        <v/>
      </c>
      <c r="S1033" s="28"/>
      <c r="V1033" s="86"/>
    </row>
    <row r="1034" spans="1:22" x14ac:dyDescent="0.25">
      <c r="A1034" s="35"/>
      <c r="C1034" s="13"/>
      <c r="I1034" s="23"/>
      <c r="J1034" s="29" t="str">
        <f t="shared" si="14"/>
        <v/>
      </c>
      <c r="L1034" s="103"/>
      <c r="P1034" t="str">
        <f>IFERROR(INDEX(RECICLADORES!C:C,MATCH(D1034,RECICLADORES!B:B,0)),"")</f>
        <v/>
      </c>
      <c r="Q1034" t="str">
        <f>IFERROR(INDEX(RECICLADORES!O:O,MATCH(D1034,RECICLADORES!B:B,0)),"")</f>
        <v/>
      </c>
      <c r="S1034" s="28"/>
      <c r="V1034" s="86"/>
    </row>
    <row r="1035" spans="1:22" x14ac:dyDescent="0.25">
      <c r="A1035" s="34"/>
      <c r="C1035" s="13"/>
      <c r="I1035" s="23"/>
      <c r="J1035" s="29" t="str">
        <f t="shared" si="14"/>
        <v/>
      </c>
      <c r="L1035" s="103"/>
      <c r="P1035" t="str">
        <f>IFERROR(INDEX(RECICLADORES!C:C,MATCH(D1035,RECICLADORES!B:B,0)),"")</f>
        <v/>
      </c>
      <c r="Q1035" t="str">
        <f>IFERROR(INDEX(RECICLADORES!O:O,MATCH(D1035,RECICLADORES!B:B,0)),"")</f>
        <v/>
      </c>
      <c r="S1035" s="28"/>
      <c r="V1035" s="86"/>
    </row>
    <row r="1036" spans="1:22" x14ac:dyDescent="0.25">
      <c r="A1036" s="35"/>
      <c r="C1036" s="13"/>
      <c r="I1036" s="23"/>
      <c r="J1036" s="29" t="str">
        <f t="shared" si="14"/>
        <v/>
      </c>
      <c r="L1036" s="103"/>
      <c r="P1036" t="str">
        <f>IFERROR(INDEX(RECICLADORES!C:C,MATCH(D1036,RECICLADORES!B:B,0)),"")</f>
        <v/>
      </c>
      <c r="Q1036" t="str">
        <f>IFERROR(INDEX(RECICLADORES!O:O,MATCH(D1036,RECICLADORES!B:B,0)),"")</f>
        <v/>
      </c>
      <c r="S1036" s="28"/>
      <c r="V1036" s="86"/>
    </row>
    <row r="1037" spans="1:22" x14ac:dyDescent="0.25">
      <c r="A1037" s="34"/>
      <c r="C1037" s="13"/>
      <c r="I1037" s="23"/>
      <c r="J1037" s="29" t="str">
        <f t="shared" si="14"/>
        <v/>
      </c>
      <c r="L1037" s="103"/>
      <c r="P1037" t="str">
        <f>IFERROR(INDEX(RECICLADORES!C:C,MATCH(D1037,RECICLADORES!B:B,0)),"")</f>
        <v/>
      </c>
      <c r="Q1037" t="str">
        <f>IFERROR(INDEX(RECICLADORES!O:O,MATCH(D1037,RECICLADORES!B:B,0)),"")</f>
        <v/>
      </c>
      <c r="S1037" s="28"/>
      <c r="V1037" s="86"/>
    </row>
    <row r="1038" spans="1:22" x14ac:dyDescent="0.25">
      <c r="A1038" s="35"/>
      <c r="C1038" s="13"/>
      <c r="I1038" s="23"/>
      <c r="J1038" s="29" t="str">
        <f t="shared" si="14"/>
        <v/>
      </c>
      <c r="L1038" s="103"/>
      <c r="P1038" t="str">
        <f>IFERROR(INDEX(RECICLADORES!C:C,MATCH(D1038,RECICLADORES!B:B,0)),"")</f>
        <v/>
      </c>
      <c r="Q1038" t="str">
        <f>IFERROR(INDEX(RECICLADORES!O:O,MATCH(D1038,RECICLADORES!B:B,0)),"")</f>
        <v/>
      </c>
      <c r="S1038" s="28"/>
      <c r="V1038" s="86"/>
    </row>
    <row r="1039" spans="1:22" x14ac:dyDescent="0.25">
      <c r="A1039" s="34"/>
      <c r="C1039" s="13"/>
      <c r="I1039" s="23"/>
      <c r="J1039" s="29" t="str">
        <f t="shared" si="14"/>
        <v/>
      </c>
      <c r="L1039" s="103"/>
      <c r="P1039" t="str">
        <f>IFERROR(INDEX(RECICLADORES!C:C,MATCH(D1039,RECICLADORES!B:B,0)),"")</f>
        <v/>
      </c>
      <c r="Q1039" t="str">
        <f>IFERROR(INDEX(RECICLADORES!O:O,MATCH(D1039,RECICLADORES!B:B,0)),"")</f>
        <v/>
      </c>
      <c r="S1039" s="28"/>
      <c r="V1039" s="86"/>
    </row>
    <row r="1040" spans="1:22" x14ac:dyDescent="0.25">
      <c r="A1040" s="35"/>
      <c r="C1040" s="13"/>
      <c r="I1040" s="23"/>
      <c r="J1040" s="29" t="str">
        <f t="shared" si="14"/>
        <v/>
      </c>
      <c r="L1040" s="103"/>
      <c r="P1040" t="str">
        <f>IFERROR(INDEX(RECICLADORES!C:C,MATCH(D1040,RECICLADORES!B:B,0)),"")</f>
        <v/>
      </c>
      <c r="Q1040" t="str">
        <f>IFERROR(INDEX(RECICLADORES!O:O,MATCH(D1040,RECICLADORES!B:B,0)),"")</f>
        <v/>
      </c>
      <c r="S1040" s="28"/>
      <c r="V1040" s="86"/>
    </row>
    <row r="1041" spans="1:22" x14ac:dyDescent="0.25">
      <c r="A1041" s="34"/>
      <c r="C1041" s="13"/>
      <c r="I1041" s="23"/>
      <c r="J1041" s="29" t="str">
        <f t="shared" si="14"/>
        <v/>
      </c>
      <c r="L1041" s="103"/>
      <c r="P1041" t="str">
        <f>IFERROR(INDEX(RECICLADORES!C:C,MATCH(D1041,RECICLADORES!B:B,0)),"")</f>
        <v/>
      </c>
      <c r="Q1041" t="str">
        <f>IFERROR(INDEX(RECICLADORES!O:O,MATCH(D1041,RECICLADORES!B:B,0)),"")</f>
        <v/>
      </c>
      <c r="S1041" s="28"/>
      <c r="V1041" s="86"/>
    </row>
    <row r="1042" spans="1:22" x14ac:dyDescent="0.25">
      <c r="A1042" s="35"/>
      <c r="C1042" s="13"/>
      <c r="I1042" s="23"/>
      <c r="J1042" s="29" t="str">
        <f t="shared" si="14"/>
        <v/>
      </c>
      <c r="L1042" s="103"/>
      <c r="P1042" t="str">
        <f>IFERROR(INDEX(RECICLADORES!C:C,MATCH(D1042,RECICLADORES!B:B,0)),"")</f>
        <v/>
      </c>
      <c r="Q1042" t="str">
        <f>IFERROR(INDEX(RECICLADORES!O:O,MATCH(D1042,RECICLADORES!B:B,0)),"")</f>
        <v/>
      </c>
      <c r="S1042" s="28"/>
      <c r="V1042" s="86"/>
    </row>
    <row r="1043" spans="1:22" x14ac:dyDescent="0.25">
      <c r="A1043" s="34"/>
      <c r="C1043" s="13"/>
      <c r="I1043" s="23"/>
      <c r="J1043" s="29" t="str">
        <f t="shared" si="14"/>
        <v/>
      </c>
      <c r="L1043" s="103"/>
      <c r="P1043" t="str">
        <f>IFERROR(INDEX(RECICLADORES!C:C,MATCH(D1043,RECICLADORES!B:B,0)),"")</f>
        <v/>
      </c>
      <c r="Q1043" t="str">
        <f>IFERROR(INDEX(RECICLADORES!O:O,MATCH(D1043,RECICLADORES!B:B,0)),"")</f>
        <v/>
      </c>
      <c r="S1043" s="28"/>
      <c r="V1043" s="86"/>
    </row>
    <row r="1044" spans="1:22" x14ac:dyDescent="0.25">
      <c r="A1044" s="35"/>
      <c r="C1044" s="13"/>
      <c r="I1044" s="23"/>
      <c r="J1044" s="29" t="str">
        <f t="shared" si="14"/>
        <v/>
      </c>
      <c r="L1044" s="103"/>
      <c r="P1044" t="str">
        <f>IFERROR(INDEX(RECICLADORES!C:C,MATCH(D1044,RECICLADORES!B:B,0)),"")</f>
        <v/>
      </c>
      <c r="Q1044" t="str">
        <f>IFERROR(INDEX(RECICLADORES!O:O,MATCH(D1044,RECICLADORES!B:B,0)),"")</f>
        <v/>
      </c>
      <c r="S1044" s="28"/>
      <c r="V1044" s="86"/>
    </row>
    <row r="1045" spans="1:22" x14ac:dyDescent="0.25">
      <c r="A1045" s="34"/>
      <c r="C1045" s="13"/>
      <c r="I1045" s="23"/>
      <c r="J1045" s="29" t="str">
        <f t="shared" si="14"/>
        <v/>
      </c>
      <c r="L1045" s="103"/>
      <c r="P1045" t="str">
        <f>IFERROR(INDEX(RECICLADORES!C:C,MATCH(D1045,RECICLADORES!B:B,0)),"")</f>
        <v/>
      </c>
      <c r="Q1045" t="str">
        <f>IFERROR(INDEX(RECICLADORES!O:O,MATCH(D1045,RECICLADORES!B:B,0)),"")</f>
        <v/>
      </c>
      <c r="S1045" s="28"/>
      <c r="V1045" s="86"/>
    </row>
    <row r="1046" spans="1:22" x14ac:dyDescent="0.25">
      <c r="A1046" s="35"/>
      <c r="C1046" s="13"/>
      <c r="I1046" s="23"/>
      <c r="J1046" s="29" t="str">
        <f t="shared" si="14"/>
        <v/>
      </c>
      <c r="L1046" s="103"/>
      <c r="P1046" t="str">
        <f>IFERROR(INDEX(RECICLADORES!C:C,MATCH(D1046,RECICLADORES!B:B,0)),"")</f>
        <v/>
      </c>
      <c r="Q1046" t="str">
        <f>IFERROR(INDEX(RECICLADORES!O:O,MATCH(D1046,RECICLADORES!B:B,0)),"")</f>
        <v/>
      </c>
      <c r="S1046" s="28"/>
      <c r="V1046" s="86"/>
    </row>
    <row r="1047" spans="1:22" x14ac:dyDescent="0.25">
      <c r="A1047" s="34"/>
      <c r="C1047" s="13"/>
      <c r="I1047" s="23"/>
      <c r="J1047" s="29" t="str">
        <f t="shared" si="14"/>
        <v/>
      </c>
      <c r="L1047" s="103"/>
      <c r="P1047" t="str">
        <f>IFERROR(INDEX(RECICLADORES!C:C,MATCH(D1047,RECICLADORES!B:B,0)),"")</f>
        <v/>
      </c>
      <c r="Q1047" t="str">
        <f>IFERROR(INDEX(RECICLADORES!O:O,MATCH(D1047,RECICLADORES!B:B,0)),"")</f>
        <v/>
      </c>
      <c r="S1047" s="28"/>
      <c r="V1047" s="86"/>
    </row>
    <row r="1048" spans="1:22" x14ac:dyDescent="0.25">
      <c r="A1048" s="35"/>
      <c r="C1048" s="13"/>
      <c r="I1048" s="23"/>
      <c r="J1048" s="29" t="str">
        <f t="shared" si="14"/>
        <v/>
      </c>
      <c r="L1048" s="103"/>
      <c r="P1048" t="str">
        <f>IFERROR(INDEX(RECICLADORES!C:C,MATCH(D1048,RECICLADORES!B:B,0)),"")</f>
        <v/>
      </c>
      <c r="Q1048" t="str">
        <f>IFERROR(INDEX(RECICLADORES!O:O,MATCH(D1048,RECICLADORES!B:B,0)),"")</f>
        <v/>
      </c>
      <c r="S1048" s="28"/>
      <c r="V1048" s="86"/>
    </row>
    <row r="1049" spans="1:22" x14ac:dyDescent="0.25">
      <c r="A1049" s="34"/>
      <c r="C1049" s="13"/>
      <c r="I1049" s="23"/>
      <c r="J1049" s="29" t="str">
        <f t="shared" si="14"/>
        <v/>
      </c>
      <c r="L1049" s="103"/>
      <c r="P1049" t="str">
        <f>IFERROR(INDEX(RECICLADORES!C:C,MATCH(D1049,RECICLADORES!B:B,0)),"")</f>
        <v/>
      </c>
      <c r="Q1049" t="str">
        <f>IFERROR(INDEX(RECICLADORES!O:O,MATCH(D1049,RECICLADORES!B:B,0)),"")</f>
        <v/>
      </c>
      <c r="S1049" s="28"/>
      <c r="V1049" s="86"/>
    </row>
    <row r="1050" spans="1:22" x14ac:dyDescent="0.25">
      <c r="A1050" s="35"/>
      <c r="C1050" s="13"/>
      <c r="I1050" s="23"/>
      <c r="J1050" s="29" t="str">
        <f t="shared" si="14"/>
        <v/>
      </c>
      <c r="L1050" s="103"/>
      <c r="P1050" t="str">
        <f>IFERROR(INDEX(RECICLADORES!C:C,MATCH(D1050,RECICLADORES!B:B,0)),"")</f>
        <v/>
      </c>
      <c r="Q1050" t="str">
        <f>IFERROR(INDEX(RECICLADORES!O:O,MATCH(D1050,RECICLADORES!B:B,0)),"")</f>
        <v/>
      </c>
      <c r="S1050" s="28"/>
      <c r="V1050" s="86"/>
    </row>
    <row r="1051" spans="1:22" x14ac:dyDescent="0.25">
      <c r="A1051" s="34"/>
      <c r="C1051" s="13"/>
      <c r="I1051" s="23"/>
      <c r="J1051" s="29" t="str">
        <f t="shared" si="14"/>
        <v/>
      </c>
      <c r="L1051" s="103"/>
      <c r="P1051" t="str">
        <f>IFERROR(INDEX(RECICLADORES!C:C,MATCH(D1051,RECICLADORES!B:B,0)),"")</f>
        <v/>
      </c>
      <c r="Q1051" t="str">
        <f>IFERROR(INDEX(RECICLADORES!O:O,MATCH(D1051,RECICLADORES!B:B,0)),"")</f>
        <v/>
      </c>
      <c r="S1051" s="28"/>
      <c r="V1051" s="86"/>
    </row>
    <row r="1052" spans="1:22" x14ac:dyDescent="0.25">
      <c r="A1052" s="35"/>
      <c r="C1052" s="13"/>
      <c r="I1052" s="23"/>
      <c r="J1052" s="29" t="str">
        <f t="shared" si="14"/>
        <v/>
      </c>
      <c r="L1052" s="103"/>
      <c r="P1052" t="str">
        <f>IFERROR(INDEX(RECICLADORES!C:C,MATCH(D1052,RECICLADORES!B:B,0)),"")</f>
        <v/>
      </c>
      <c r="Q1052" t="str">
        <f>IFERROR(INDEX(RECICLADORES!O:O,MATCH(D1052,RECICLADORES!B:B,0)),"")</f>
        <v/>
      </c>
      <c r="S1052" s="28"/>
      <c r="V1052" s="86"/>
    </row>
    <row r="1053" spans="1:22" x14ac:dyDescent="0.25">
      <c r="A1053" s="34"/>
      <c r="C1053" s="13"/>
      <c r="I1053" s="23"/>
      <c r="J1053" s="29" t="str">
        <f t="shared" si="14"/>
        <v/>
      </c>
      <c r="L1053" s="103"/>
      <c r="P1053" t="str">
        <f>IFERROR(INDEX(RECICLADORES!C:C,MATCH(D1053,RECICLADORES!B:B,0)),"")</f>
        <v/>
      </c>
      <c r="Q1053" t="str">
        <f>IFERROR(INDEX(RECICLADORES!O:O,MATCH(D1053,RECICLADORES!B:B,0)),"")</f>
        <v/>
      </c>
      <c r="S1053" s="28"/>
      <c r="V1053" s="86"/>
    </row>
    <row r="1054" spans="1:22" x14ac:dyDescent="0.25">
      <c r="A1054" s="35"/>
      <c r="C1054" s="13"/>
      <c r="I1054" s="23"/>
      <c r="J1054" s="29" t="str">
        <f t="shared" si="14"/>
        <v/>
      </c>
      <c r="L1054" s="103"/>
      <c r="P1054" t="str">
        <f>IFERROR(INDEX(RECICLADORES!C:C,MATCH(D1054,RECICLADORES!B:B,0)),"")</f>
        <v/>
      </c>
      <c r="Q1054" t="str">
        <f>IFERROR(INDEX(RECICLADORES!O:O,MATCH(D1054,RECICLADORES!B:B,0)),"")</f>
        <v/>
      </c>
      <c r="S1054" s="28"/>
      <c r="V1054" s="86"/>
    </row>
    <row r="1055" spans="1:22" x14ac:dyDescent="0.25">
      <c r="A1055" s="34"/>
      <c r="C1055" s="13"/>
      <c r="I1055" s="23"/>
      <c r="J1055" s="29" t="str">
        <f t="shared" si="14"/>
        <v/>
      </c>
      <c r="L1055" s="103"/>
      <c r="P1055" t="str">
        <f>IFERROR(INDEX(RECICLADORES!C:C,MATCH(D1055,RECICLADORES!B:B,0)),"")</f>
        <v/>
      </c>
      <c r="Q1055" t="str">
        <f>IFERROR(INDEX(RECICLADORES!O:O,MATCH(D1055,RECICLADORES!B:B,0)),"")</f>
        <v/>
      </c>
      <c r="S1055" s="28"/>
      <c r="V1055" s="86"/>
    </row>
    <row r="1056" spans="1:22" x14ac:dyDescent="0.25">
      <c r="A1056" s="35"/>
      <c r="C1056" s="13"/>
      <c r="I1056" s="23"/>
      <c r="J1056" s="29" t="str">
        <f t="shared" si="14"/>
        <v/>
      </c>
      <c r="L1056" s="103"/>
      <c r="P1056" t="str">
        <f>IFERROR(INDEX(RECICLADORES!C:C,MATCH(D1056,RECICLADORES!B:B,0)),"")</f>
        <v/>
      </c>
      <c r="Q1056" t="str">
        <f>IFERROR(INDEX(RECICLADORES!O:O,MATCH(D1056,RECICLADORES!B:B,0)),"")</f>
        <v/>
      </c>
      <c r="S1056" s="28"/>
      <c r="V1056" s="86"/>
    </row>
    <row r="1057" spans="1:22" x14ac:dyDescent="0.25">
      <c r="A1057" s="34"/>
      <c r="C1057" s="13"/>
      <c r="I1057" s="23"/>
      <c r="J1057" s="29" t="str">
        <f t="shared" si="14"/>
        <v/>
      </c>
      <c r="L1057" s="103"/>
      <c r="P1057" t="str">
        <f>IFERROR(INDEX(RECICLADORES!C:C,MATCH(D1057,RECICLADORES!B:B,0)),"")</f>
        <v/>
      </c>
      <c r="Q1057" t="str">
        <f>IFERROR(INDEX(RECICLADORES!O:O,MATCH(D1057,RECICLADORES!B:B,0)),"")</f>
        <v/>
      </c>
      <c r="S1057" s="28"/>
      <c r="V1057" s="86"/>
    </row>
    <row r="1058" spans="1:22" x14ac:dyDescent="0.25">
      <c r="A1058" s="35"/>
      <c r="C1058" s="13"/>
      <c r="I1058" s="23"/>
      <c r="J1058" s="29" t="str">
        <f t="shared" si="14"/>
        <v/>
      </c>
      <c r="L1058" s="103"/>
      <c r="P1058" t="str">
        <f>IFERROR(INDEX(RECICLADORES!C:C,MATCH(D1058,RECICLADORES!B:B,0)),"")</f>
        <v/>
      </c>
      <c r="Q1058" t="str">
        <f>IFERROR(INDEX(RECICLADORES!O:O,MATCH(D1058,RECICLADORES!B:B,0)),"")</f>
        <v/>
      </c>
      <c r="S1058" s="28"/>
      <c r="V1058" s="86"/>
    </row>
    <row r="1059" spans="1:22" x14ac:dyDescent="0.25">
      <c r="A1059" s="34"/>
      <c r="C1059" s="13"/>
      <c r="I1059" s="23"/>
      <c r="J1059" s="29" t="str">
        <f t="shared" si="14"/>
        <v/>
      </c>
      <c r="L1059" s="103"/>
      <c r="P1059" t="str">
        <f>IFERROR(INDEX(RECICLADORES!C:C,MATCH(D1059,RECICLADORES!B:B,0)),"")</f>
        <v/>
      </c>
      <c r="Q1059" t="str">
        <f>IFERROR(INDEX(RECICLADORES!O:O,MATCH(D1059,RECICLADORES!B:B,0)),"")</f>
        <v/>
      </c>
      <c r="S1059" s="28"/>
      <c r="V1059" s="86"/>
    </row>
    <row r="1060" spans="1:22" x14ac:dyDescent="0.25">
      <c r="A1060" s="35"/>
      <c r="C1060" s="13"/>
      <c r="I1060" s="23"/>
      <c r="J1060" s="29" t="str">
        <f t="shared" si="14"/>
        <v/>
      </c>
      <c r="L1060" s="103"/>
      <c r="P1060" t="str">
        <f>IFERROR(INDEX(RECICLADORES!C:C,MATCH(D1060,RECICLADORES!B:B,0)),"")</f>
        <v/>
      </c>
      <c r="Q1060" t="str">
        <f>IFERROR(INDEX(RECICLADORES!O:O,MATCH(D1060,RECICLADORES!B:B,0)),"")</f>
        <v/>
      </c>
      <c r="S1060" s="28"/>
      <c r="V1060" s="86"/>
    </row>
    <row r="1061" spans="1:22" x14ac:dyDescent="0.25">
      <c r="A1061" s="34"/>
      <c r="C1061" s="13"/>
      <c r="I1061" s="23"/>
      <c r="J1061" s="29" t="str">
        <f t="shared" si="14"/>
        <v/>
      </c>
      <c r="L1061" s="103"/>
      <c r="P1061" t="str">
        <f>IFERROR(INDEX(RECICLADORES!C:C,MATCH(D1061,RECICLADORES!B:B,0)),"")</f>
        <v/>
      </c>
      <c r="Q1061" t="str">
        <f>IFERROR(INDEX(RECICLADORES!O:O,MATCH(D1061,RECICLADORES!B:B,0)),"")</f>
        <v/>
      </c>
      <c r="S1061" s="28"/>
      <c r="V1061" s="86"/>
    </row>
    <row r="1062" spans="1:22" x14ac:dyDescent="0.25">
      <c r="A1062" s="35"/>
      <c r="C1062" s="13"/>
      <c r="I1062" s="23"/>
      <c r="J1062" s="29" t="str">
        <f t="shared" si="14"/>
        <v/>
      </c>
      <c r="L1062" s="103"/>
      <c r="P1062" t="str">
        <f>IFERROR(INDEX(RECICLADORES!C:C,MATCH(D1062,RECICLADORES!B:B,0)),"")</f>
        <v/>
      </c>
      <c r="Q1062" t="str">
        <f>IFERROR(INDEX(RECICLADORES!O:O,MATCH(D1062,RECICLADORES!B:B,0)),"")</f>
        <v/>
      </c>
      <c r="S1062" s="28"/>
      <c r="V1062" s="86"/>
    </row>
    <row r="1063" spans="1:22" x14ac:dyDescent="0.25">
      <c r="A1063" s="35"/>
      <c r="C1063" s="13"/>
      <c r="I1063" s="23"/>
      <c r="J1063" s="29" t="str">
        <f t="shared" si="14"/>
        <v/>
      </c>
      <c r="L1063" s="103"/>
      <c r="P1063" t="str">
        <f>IFERROR(INDEX(RECICLADORES!C:C,MATCH(D1063,RECICLADORES!B:B,0)),"")</f>
        <v/>
      </c>
      <c r="Q1063" t="str">
        <f>IFERROR(INDEX(RECICLADORES!O:O,MATCH(D1063,RECICLADORES!B:B,0)),"")</f>
        <v/>
      </c>
      <c r="S1063" s="28"/>
      <c r="V1063" s="86"/>
    </row>
    <row r="1064" spans="1:22" x14ac:dyDescent="0.25">
      <c r="A1064" s="34"/>
      <c r="C1064" s="13"/>
      <c r="I1064" s="23"/>
      <c r="J1064" s="29" t="str">
        <f t="shared" si="14"/>
        <v/>
      </c>
      <c r="L1064" s="103"/>
      <c r="P1064" t="str">
        <f>IFERROR(INDEX(RECICLADORES!C:C,MATCH(D1064,RECICLADORES!B:B,0)),"")</f>
        <v/>
      </c>
      <c r="Q1064" t="str">
        <f>IFERROR(INDEX(RECICLADORES!O:O,MATCH(D1064,RECICLADORES!B:B,0)),"")</f>
        <v/>
      </c>
      <c r="S1064" s="28"/>
      <c r="V1064" s="86"/>
    </row>
    <row r="1065" spans="1:22" x14ac:dyDescent="0.25">
      <c r="A1065" s="35"/>
      <c r="C1065" s="13"/>
      <c r="I1065" s="23"/>
      <c r="J1065" s="29" t="str">
        <f t="shared" si="14"/>
        <v/>
      </c>
      <c r="L1065" s="103"/>
      <c r="P1065" t="str">
        <f>IFERROR(INDEX(RECICLADORES!C:C,MATCH(D1065,RECICLADORES!B:B,0)),"")</f>
        <v/>
      </c>
      <c r="Q1065" t="str">
        <f>IFERROR(INDEX(RECICLADORES!O:O,MATCH(D1065,RECICLADORES!B:B,0)),"")</f>
        <v/>
      </c>
      <c r="S1065" s="28"/>
      <c r="V1065" s="86"/>
    </row>
    <row r="1066" spans="1:22" x14ac:dyDescent="0.25">
      <c r="A1066" s="34"/>
      <c r="C1066" s="13"/>
      <c r="I1066" s="23"/>
      <c r="J1066" s="29" t="str">
        <f t="shared" si="14"/>
        <v/>
      </c>
      <c r="L1066" s="103"/>
      <c r="P1066" t="str">
        <f>IFERROR(INDEX(RECICLADORES!C:C,MATCH(D1066,RECICLADORES!B:B,0)),"")</f>
        <v/>
      </c>
      <c r="Q1066" t="str">
        <f>IFERROR(INDEX(RECICLADORES!O:O,MATCH(D1066,RECICLADORES!B:B,0)),"")</f>
        <v/>
      </c>
      <c r="S1066" s="28"/>
      <c r="V1066" s="86"/>
    </row>
    <row r="1067" spans="1:22" x14ac:dyDescent="0.25">
      <c r="A1067" s="35"/>
      <c r="C1067" s="13"/>
      <c r="I1067" s="23"/>
      <c r="J1067" s="29" t="str">
        <f t="shared" ref="J1067:J1105" si="15">IF(C1067="","",INT((DAY(C1067)-1)/7)+1)</f>
        <v/>
      </c>
      <c r="L1067" s="103"/>
      <c r="P1067" t="str">
        <f>IFERROR(INDEX(RECICLADORES!C:C,MATCH(D1067,RECICLADORES!B:B,0)),"")</f>
        <v/>
      </c>
      <c r="Q1067" t="str">
        <f>IFERROR(INDEX(RECICLADORES!O:O,MATCH(D1067,RECICLADORES!B:B,0)),"")</f>
        <v/>
      </c>
      <c r="S1067" s="28"/>
      <c r="V1067" s="86"/>
    </row>
    <row r="1068" spans="1:22" x14ac:dyDescent="0.25">
      <c r="A1068" s="34"/>
      <c r="C1068" s="13"/>
      <c r="I1068" s="23"/>
      <c r="J1068" s="29" t="str">
        <f t="shared" si="15"/>
        <v/>
      </c>
      <c r="L1068" s="103"/>
      <c r="P1068" t="str">
        <f>IFERROR(INDEX(RECICLADORES!C:C,MATCH(D1068,RECICLADORES!B:B,0)),"")</f>
        <v/>
      </c>
      <c r="Q1068" t="str">
        <f>IFERROR(INDEX(RECICLADORES!O:O,MATCH(D1068,RECICLADORES!B:B,0)),"")</f>
        <v/>
      </c>
      <c r="S1068" s="28"/>
      <c r="V1068" s="86"/>
    </row>
    <row r="1069" spans="1:22" x14ac:dyDescent="0.25">
      <c r="A1069" s="35"/>
      <c r="C1069" s="13"/>
      <c r="I1069" s="23"/>
      <c r="J1069" s="29" t="str">
        <f t="shared" si="15"/>
        <v/>
      </c>
      <c r="L1069" s="103"/>
      <c r="P1069" t="str">
        <f>IFERROR(INDEX(RECICLADORES!C:C,MATCH(D1069,RECICLADORES!B:B,0)),"")</f>
        <v/>
      </c>
      <c r="Q1069" t="str">
        <f>IFERROR(INDEX(RECICLADORES!O:O,MATCH(D1069,RECICLADORES!B:B,0)),"")</f>
        <v/>
      </c>
      <c r="S1069" s="28"/>
      <c r="V1069" s="86"/>
    </row>
    <row r="1070" spans="1:22" x14ac:dyDescent="0.25">
      <c r="A1070" s="34"/>
      <c r="C1070" s="13"/>
      <c r="I1070" s="23"/>
      <c r="J1070" s="29" t="str">
        <f t="shared" si="15"/>
        <v/>
      </c>
      <c r="L1070" s="103"/>
      <c r="P1070" t="str">
        <f>IFERROR(INDEX(RECICLADORES!C:C,MATCH(D1070,RECICLADORES!B:B,0)),"")</f>
        <v/>
      </c>
      <c r="Q1070" t="str">
        <f>IFERROR(INDEX(RECICLADORES!O:O,MATCH(D1070,RECICLADORES!B:B,0)),"")</f>
        <v/>
      </c>
      <c r="S1070" s="28"/>
      <c r="V1070" s="86"/>
    </row>
    <row r="1071" spans="1:22" x14ac:dyDescent="0.25">
      <c r="A1071" s="35"/>
      <c r="C1071" s="13"/>
      <c r="I1071" s="23"/>
      <c r="J1071" s="29" t="str">
        <f t="shared" si="15"/>
        <v/>
      </c>
      <c r="L1071" s="103"/>
      <c r="P1071" t="str">
        <f>IFERROR(INDEX(RECICLADORES!C:C,MATCH(D1071,RECICLADORES!B:B,0)),"")</f>
        <v/>
      </c>
      <c r="Q1071" t="str">
        <f>IFERROR(INDEX(RECICLADORES!O:O,MATCH(D1071,RECICLADORES!B:B,0)),"")</f>
        <v/>
      </c>
      <c r="S1071" s="28"/>
      <c r="V1071" s="86"/>
    </row>
    <row r="1072" spans="1:22" x14ac:dyDescent="0.25">
      <c r="A1072" s="34"/>
      <c r="C1072" s="13"/>
      <c r="I1072" s="23"/>
      <c r="J1072" s="29" t="str">
        <f t="shared" si="15"/>
        <v/>
      </c>
      <c r="L1072" s="103"/>
      <c r="P1072" t="str">
        <f>IFERROR(INDEX(RECICLADORES!C:C,MATCH(D1072,RECICLADORES!B:B,0)),"")</f>
        <v/>
      </c>
      <c r="Q1072" t="str">
        <f>IFERROR(INDEX(RECICLADORES!O:O,MATCH(D1072,RECICLADORES!B:B,0)),"")</f>
        <v/>
      </c>
      <c r="S1072" s="28"/>
      <c r="V1072" s="86"/>
    </row>
    <row r="1073" spans="1:22" x14ac:dyDescent="0.25">
      <c r="A1073" s="35"/>
      <c r="C1073" s="13"/>
      <c r="I1073" s="23"/>
      <c r="J1073" s="29" t="str">
        <f t="shared" si="15"/>
        <v/>
      </c>
      <c r="L1073" s="103"/>
      <c r="P1073" t="str">
        <f>IFERROR(INDEX(RECICLADORES!C:C,MATCH(D1073,RECICLADORES!B:B,0)),"")</f>
        <v/>
      </c>
      <c r="Q1073" t="str">
        <f>IFERROR(INDEX(RECICLADORES!O:O,MATCH(D1073,RECICLADORES!B:B,0)),"")</f>
        <v/>
      </c>
      <c r="S1073" s="28"/>
      <c r="V1073" s="86"/>
    </row>
    <row r="1074" spans="1:22" x14ac:dyDescent="0.25">
      <c r="A1074" s="34"/>
      <c r="C1074" s="13"/>
      <c r="I1074" s="23"/>
      <c r="J1074" s="29" t="str">
        <f t="shared" si="15"/>
        <v/>
      </c>
      <c r="L1074" s="103"/>
      <c r="P1074" t="str">
        <f>IFERROR(INDEX(RECICLADORES!C:C,MATCH(D1074,RECICLADORES!B:B,0)),"")</f>
        <v/>
      </c>
      <c r="Q1074" t="str">
        <f>IFERROR(INDEX(RECICLADORES!O:O,MATCH(D1074,RECICLADORES!B:B,0)),"")</f>
        <v/>
      </c>
      <c r="S1074" s="28"/>
      <c r="V1074" s="86"/>
    </row>
    <row r="1075" spans="1:22" x14ac:dyDescent="0.25">
      <c r="A1075" s="35"/>
      <c r="C1075" s="13"/>
      <c r="I1075" s="23"/>
      <c r="J1075" s="29" t="str">
        <f t="shared" si="15"/>
        <v/>
      </c>
      <c r="L1075" s="103"/>
      <c r="P1075" t="str">
        <f>IFERROR(INDEX(RECICLADORES!C:C,MATCH(D1075,RECICLADORES!B:B,0)),"")</f>
        <v/>
      </c>
      <c r="Q1075" t="str">
        <f>IFERROR(INDEX(RECICLADORES!O:O,MATCH(D1075,RECICLADORES!B:B,0)),"")</f>
        <v/>
      </c>
      <c r="S1075" s="28"/>
      <c r="V1075" s="86"/>
    </row>
    <row r="1076" spans="1:22" x14ac:dyDescent="0.25">
      <c r="A1076" s="34"/>
      <c r="C1076" s="13"/>
      <c r="I1076" s="23"/>
      <c r="J1076" s="29" t="str">
        <f t="shared" si="15"/>
        <v/>
      </c>
      <c r="L1076" s="103"/>
      <c r="P1076" t="str">
        <f>IFERROR(INDEX(RECICLADORES!C:C,MATCH(D1076,RECICLADORES!B:B,0)),"")</f>
        <v/>
      </c>
      <c r="Q1076" t="str">
        <f>IFERROR(INDEX(RECICLADORES!O:O,MATCH(D1076,RECICLADORES!B:B,0)),"")</f>
        <v/>
      </c>
      <c r="S1076" s="28"/>
      <c r="V1076" s="86"/>
    </row>
    <row r="1077" spans="1:22" x14ac:dyDescent="0.25">
      <c r="A1077" s="35"/>
      <c r="C1077" s="13"/>
      <c r="I1077" s="23"/>
      <c r="J1077" s="29" t="str">
        <f t="shared" si="15"/>
        <v/>
      </c>
      <c r="L1077" s="103"/>
      <c r="P1077" t="str">
        <f>IFERROR(INDEX(RECICLADORES!C:C,MATCH(D1077,RECICLADORES!B:B,0)),"")</f>
        <v/>
      </c>
      <c r="Q1077" t="str">
        <f>IFERROR(INDEX(RECICLADORES!O:O,MATCH(D1077,RECICLADORES!B:B,0)),"")</f>
        <v/>
      </c>
      <c r="S1077" s="28"/>
      <c r="V1077" s="86"/>
    </row>
    <row r="1078" spans="1:22" x14ac:dyDescent="0.25">
      <c r="A1078" s="34"/>
      <c r="C1078" s="13"/>
      <c r="I1078" s="23"/>
      <c r="J1078" s="29" t="str">
        <f t="shared" si="15"/>
        <v/>
      </c>
      <c r="L1078" s="103"/>
      <c r="P1078" t="str">
        <f>IFERROR(INDEX(RECICLADORES!C:C,MATCH(D1078,RECICLADORES!B:B,0)),"")</f>
        <v/>
      </c>
      <c r="Q1078" t="str">
        <f>IFERROR(INDEX(RECICLADORES!O:O,MATCH(D1078,RECICLADORES!B:B,0)),"")</f>
        <v/>
      </c>
      <c r="S1078" s="28"/>
      <c r="V1078" s="86"/>
    </row>
    <row r="1079" spans="1:22" x14ac:dyDescent="0.25">
      <c r="A1079" s="35"/>
      <c r="C1079" s="13"/>
      <c r="I1079" s="23"/>
      <c r="J1079" s="29" t="str">
        <f t="shared" si="15"/>
        <v/>
      </c>
      <c r="L1079" s="103"/>
      <c r="P1079" t="str">
        <f>IFERROR(INDEX(RECICLADORES!C:C,MATCH(D1079,RECICLADORES!B:B,0)),"")</f>
        <v/>
      </c>
      <c r="Q1079" t="str">
        <f>IFERROR(INDEX(RECICLADORES!O:O,MATCH(D1079,RECICLADORES!B:B,0)),"")</f>
        <v/>
      </c>
      <c r="S1079" s="28"/>
      <c r="V1079" s="86"/>
    </row>
    <row r="1080" spans="1:22" x14ac:dyDescent="0.25">
      <c r="A1080" s="34"/>
      <c r="C1080" s="13"/>
      <c r="I1080" s="23"/>
      <c r="J1080" s="29" t="str">
        <f t="shared" si="15"/>
        <v/>
      </c>
      <c r="L1080" s="103"/>
      <c r="P1080" t="str">
        <f>IFERROR(INDEX(RECICLADORES!C:C,MATCH(D1080,RECICLADORES!B:B,0)),"")</f>
        <v/>
      </c>
      <c r="Q1080" t="str">
        <f>IFERROR(INDEX(RECICLADORES!O:O,MATCH(D1080,RECICLADORES!B:B,0)),"")</f>
        <v/>
      </c>
      <c r="S1080" s="28"/>
      <c r="V1080" s="86"/>
    </row>
    <row r="1081" spans="1:22" x14ac:dyDescent="0.25">
      <c r="A1081" s="35"/>
      <c r="C1081" s="13"/>
      <c r="I1081" s="23"/>
      <c r="J1081" s="29" t="str">
        <f t="shared" si="15"/>
        <v/>
      </c>
      <c r="L1081" s="103"/>
      <c r="P1081" t="str">
        <f>IFERROR(INDEX(RECICLADORES!C:C,MATCH(D1081,RECICLADORES!B:B,0)),"")</f>
        <v/>
      </c>
      <c r="Q1081" t="str">
        <f>IFERROR(INDEX(RECICLADORES!O:O,MATCH(D1081,RECICLADORES!B:B,0)),"")</f>
        <v/>
      </c>
      <c r="S1081" s="28"/>
      <c r="V1081" s="86"/>
    </row>
    <row r="1082" spans="1:22" x14ac:dyDescent="0.25">
      <c r="A1082" s="34"/>
      <c r="C1082" s="13"/>
      <c r="I1082" s="23"/>
      <c r="J1082" s="29" t="str">
        <f t="shared" si="15"/>
        <v/>
      </c>
      <c r="L1082" s="103"/>
      <c r="P1082" t="str">
        <f>IFERROR(INDEX(RECICLADORES!C:C,MATCH(D1082,RECICLADORES!B:B,0)),"")</f>
        <v/>
      </c>
      <c r="Q1082" t="str">
        <f>IFERROR(INDEX(RECICLADORES!O:O,MATCH(D1082,RECICLADORES!B:B,0)),"")</f>
        <v/>
      </c>
      <c r="S1082" s="28"/>
      <c r="V1082" s="86"/>
    </row>
    <row r="1083" spans="1:22" x14ac:dyDescent="0.25">
      <c r="A1083" s="35"/>
      <c r="C1083" s="13"/>
      <c r="I1083" s="23"/>
      <c r="J1083" s="29" t="str">
        <f t="shared" si="15"/>
        <v/>
      </c>
      <c r="L1083" s="103"/>
      <c r="P1083" t="str">
        <f>IFERROR(INDEX(RECICLADORES!C:C,MATCH(D1083,RECICLADORES!B:B,0)),"")</f>
        <v/>
      </c>
      <c r="Q1083" t="str">
        <f>IFERROR(INDEX(RECICLADORES!O:O,MATCH(D1083,RECICLADORES!B:B,0)),"")</f>
        <v/>
      </c>
      <c r="S1083" s="28"/>
      <c r="V1083" s="86"/>
    </row>
    <row r="1084" spans="1:22" x14ac:dyDescent="0.25">
      <c r="A1084" s="34"/>
      <c r="C1084" s="13"/>
      <c r="I1084" s="23"/>
      <c r="J1084" s="29" t="str">
        <f t="shared" si="15"/>
        <v/>
      </c>
      <c r="L1084" s="103"/>
      <c r="P1084" t="str">
        <f>IFERROR(INDEX(RECICLADORES!C:C,MATCH(D1084,RECICLADORES!B:B,0)),"")</f>
        <v/>
      </c>
      <c r="Q1084" t="str">
        <f>IFERROR(INDEX(RECICLADORES!O:O,MATCH(D1084,RECICLADORES!B:B,0)),"")</f>
        <v/>
      </c>
      <c r="S1084" s="28"/>
      <c r="V1084" s="86"/>
    </row>
    <row r="1085" spans="1:22" x14ac:dyDescent="0.25">
      <c r="A1085" s="35"/>
      <c r="C1085" s="13"/>
      <c r="I1085" s="23"/>
      <c r="J1085" s="29" t="str">
        <f t="shared" si="15"/>
        <v/>
      </c>
      <c r="L1085" s="103"/>
      <c r="P1085" t="str">
        <f>IFERROR(INDEX(RECICLADORES!C:C,MATCH(D1085,RECICLADORES!B:B,0)),"")</f>
        <v/>
      </c>
      <c r="Q1085" t="str">
        <f>IFERROR(INDEX(RECICLADORES!O:O,MATCH(D1085,RECICLADORES!B:B,0)),"")</f>
        <v/>
      </c>
      <c r="S1085" s="28"/>
      <c r="V1085" s="86"/>
    </row>
    <row r="1086" spans="1:22" x14ac:dyDescent="0.25">
      <c r="A1086" s="34"/>
      <c r="C1086" s="13"/>
      <c r="I1086" s="23"/>
      <c r="J1086" s="29" t="str">
        <f t="shared" si="15"/>
        <v/>
      </c>
      <c r="L1086" s="103"/>
      <c r="P1086" t="str">
        <f>IFERROR(INDEX(RECICLADORES!C:C,MATCH(D1086,RECICLADORES!B:B,0)),"")</f>
        <v/>
      </c>
      <c r="Q1086" t="str">
        <f>IFERROR(INDEX(RECICLADORES!O:O,MATCH(D1086,RECICLADORES!B:B,0)),"")</f>
        <v/>
      </c>
      <c r="S1086" s="28"/>
      <c r="V1086" s="86"/>
    </row>
    <row r="1087" spans="1:22" x14ac:dyDescent="0.25">
      <c r="A1087" s="39"/>
      <c r="C1087" s="13"/>
      <c r="I1087" s="23"/>
      <c r="J1087" s="29" t="str">
        <f t="shared" si="15"/>
        <v/>
      </c>
      <c r="L1087" s="103"/>
      <c r="P1087" t="str">
        <f>IFERROR(INDEX(RECICLADORES!C:C,MATCH(D1087,RECICLADORES!B:B,0)),"")</f>
        <v/>
      </c>
      <c r="Q1087" t="str">
        <f>IFERROR(INDEX(RECICLADORES!O:O,MATCH(D1087,RECICLADORES!B:B,0)),"")</f>
        <v/>
      </c>
      <c r="S1087" s="28"/>
      <c r="V1087" s="86"/>
    </row>
    <row r="1088" spans="1:22" x14ac:dyDescent="0.25">
      <c r="C1088" s="13"/>
      <c r="I1088" s="23"/>
      <c r="J1088" s="29" t="str">
        <f t="shared" si="15"/>
        <v/>
      </c>
      <c r="L1088" s="103"/>
      <c r="P1088" t="str">
        <f>IFERROR(INDEX(RECICLADORES!C:C,MATCH(D1088,RECICLADORES!B:B,0)),"")</f>
        <v/>
      </c>
      <c r="Q1088" t="str">
        <f>IFERROR(INDEX(RECICLADORES!O:O,MATCH(D1088,RECICLADORES!B:B,0)),"")</f>
        <v/>
      </c>
      <c r="S1088" s="28"/>
      <c r="V1088" s="86"/>
    </row>
    <row r="1089" spans="1:22" x14ac:dyDescent="0.25">
      <c r="A1089" s="39"/>
      <c r="C1089" s="13"/>
      <c r="I1089" s="23"/>
      <c r="J1089" s="29" t="str">
        <f t="shared" si="15"/>
        <v/>
      </c>
      <c r="L1089" s="103"/>
      <c r="P1089" t="str">
        <f>IFERROR(INDEX(RECICLADORES!C:C,MATCH(D1089,RECICLADORES!B:B,0)),"")</f>
        <v/>
      </c>
      <c r="Q1089" t="str">
        <f>IFERROR(INDEX(RECICLADORES!O:O,MATCH(D1089,RECICLADORES!B:B,0)),"")</f>
        <v/>
      </c>
      <c r="S1089" s="28"/>
      <c r="V1089" s="86"/>
    </row>
    <row r="1090" spans="1:22" x14ac:dyDescent="0.25">
      <c r="C1090" s="13"/>
      <c r="I1090" s="23"/>
      <c r="J1090" s="29" t="str">
        <f t="shared" si="15"/>
        <v/>
      </c>
      <c r="L1090" s="103"/>
      <c r="P1090" t="str">
        <f>IFERROR(INDEX(RECICLADORES!C:C,MATCH(D1090,RECICLADORES!B:B,0)),"")</f>
        <v/>
      </c>
      <c r="Q1090" t="str">
        <f>IFERROR(INDEX(RECICLADORES!O:O,MATCH(D1090,RECICLADORES!B:B,0)),"")</f>
        <v/>
      </c>
      <c r="S1090" s="28"/>
      <c r="V1090" s="86"/>
    </row>
    <row r="1091" spans="1:22" x14ac:dyDescent="0.25">
      <c r="A1091" s="39"/>
      <c r="C1091" s="13"/>
      <c r="I1091" s="23"/>
      <c r="J1091" s="29" t="str">
        <f t="shared" si="15"/>
        <v/>
      </c>
      <c r="L1091" s="103"/>
      <c r="P1091" t="str">
        <f>IFERROR(INDEX(RECICLADORES!C:C,MATCH(D1091,RECICLADORES!B:B,0)),"")</f>
        <v/>
      </c>
      <c r="Q1091" t="str">
        <f>IFERROR(INDEX(RECICLADORES!O:O,MATCH(D1091,RECICLADORES!B:B,0)),"")</f>
        <v/>
      </c>
      <c r="S1091" s="28"/>
      <c r="V1091" s="86"/>
    </row>
    <row r="1092" spans="1:22" x14ac:dyDescent="0.25">
      <c r="A1092" s="39"/>
      <c r="C1092" s="13"/>
      <c r="I1092" s="23"/>
      <c r="J1092" s="29" t="str">
        <f t="shared" si="15"/>
        <v/>
      </c>
      <c r="L1092" s="103"/>
      <c r="P1092" t="str">
        <f>IFERROR(INDEX(RECICLADORES!C:C,MATCH(D1092,RECICLADORES!B:B,0)),"")</f>
        <v/>
      </c>
      <c r="Q1092" t="str">
        <f>IFERROR(INDEX(RECICLADORES!O:O,MATCH(D1092,RECICLADORES!B:B,0)),"")</f>
        <v/>
      </c>
      <c r="S1092" s="28"/>
      <c r="V1092" s="86"/>
    </row>
    <row r="1093" spans="1:22" x14ac:dyDescent="0.25">
      <c r="C1093" s="13"/>
      <c r="I1093" s="23"/>
      <c r="J1093" s="29" t="str">
        <f t="shared" si="15"/>
        <v/>
      </c>
      <c r="L1093" s="103"/>
      <c r="P1093" t="str">
        <f>IFERROR(INDEX(RECICLADORES!C:C,MATCH(D1093,RECICLADORES!B:B,0)),"")</f>
        <v/>
      </c>
      <c r="Q1093" t="str">
        <f>IFERROR(INDEX(RECICLADORES!O:O,MATCH(D1093,RECICLADORES!B:B,0)),"")</f>
        <v/>
      </c>
      <c r="S1093" s="28"/>
      <c r="V1093" s="86"/>
    </row>
    <row r="1094" spans="1:22" x14ac:dyDescent="0.25">
      <c r="A1094" s="39"/>
      <c r="C1094" s="13"/>
      <c r="I1094" s="23"/>
      <c r="J1094" s="29" t="str">
        <f t="shared" si="15"/>
        <v/>
      </c>
      <c r="L1094" s="103"/>
      <c r="P1094" t="str">
        <f>IFERROR(INDEX(RECICLADORES!C:C,MATCH(D1094,RECICLADORES!B:B,0)),"")</f>
        <v/>
      </c>
      <c r="Q1094" t="str">
        <f>IFERROR(INDEX(RECICLADORES!O:O,MATCH(D1094,RECICLADORES!B:B,0)),"")</f>
        <v/>
      </c>
      <c r="S1094" s="28"/>
      <c r="V1094" s="86"/>
    </row>
    <row r="1095" spans="1:22" x14ac:dyDescent="0.25">
      <c r="C1095" s="13"/>
      <c r="I1095" s="23"/>
      <c r="J1095" s="29" t="str">
        <f t="shared" si="15"/>
        <v/>
      </c>
      <c r="L1095" s="103"/>
      <c r="P1095" t="str">
        <f>IFERROR(INDEX(RECICLADORES!C:C,MATCH(D1095,RECICLADORES!B:B,0)),"")</f>
        <v/>
      </c>
      <c r="Q1095" t="str">
        <f>IFERROR(INDEX(RECICLADORES!O:O,MATCH(D1095,RECICLADORES!B:B,0)),"")</f>
        <v/>
      </c>
      <c r="S1095" s="28"/>
      <c r="V1095" s="86"/>
    </row>
    <row r="1096" spans="1:22" x14ac:dyDescent="0.25">
      <c r="A1096" s="39"/>
      <c r="C1096" s="13"/>
      <c r="I1096" s="23"/>
      <c r="J1096" s="29" t="str">
        <f t="shared" si="15"/>
        <v/>
      </c>
      <c r="L1096" s="103"/>
      <c r="P1096" t="str">
        <f>IFERROR(INDEX(RECICLADORES!C:C,MATCH(D1096,RECICLADORES!B:B,0)),"")</f>
        <v/>
      </c>
      <c r="Q1096" t="str">
        <f>IFERROR(INDEX(RECICLADORES!O:O,MATCH(D1096,RECICLADORES!B:B,0)),"")</f>
        <v/>
      </c>
      <c r="S1096" s="28"/>
      <c r="V1096" s="86"/>
    </row>
    <row r="1097" spans="1:22" x14ac:dyDescent="0.25">
      <c r="C1097" s="13"/>
      <c r="I1097" s="23"/>
      <c r="J1097" s="29" t="str">
        <f t="shared" si="15"/>
        <v/>
      </c>
      <c r="L1097" s="103"/>
      <c r="P1097" t="str">
        <f>IFERROR(INDEX(RECICLADORES!C:C,MATCH(D1097,RECICLADORES!B:B,0)),"")</f>
        <v/>
      </c>
      <c r="Q1097" t="str">
        <f>IFERROR(INDEX(RECICLADORES!O:O,MATCH(D1097,RECICLADORES!B:B,0)),"")</f>
        <v/>
      </c>
      <c r="S1097" s="28"/>
      <c r="V1097" s="86"/>
    </row>
    <row r="1098" spans="1:22" x14ac:dyDescent="0.25">
      <c r="A1098" s="39"/>
      <c r="C1098" s="13"/>
      <c r="I1098" s="23"/>
      <c r="J1098" s="29" t="str">
        <f t="shared" si="15"/>
        <v/>
      </c>
      <c r="L1098" s="103"/>
      <c r="P1098" t="str">
        <f>IFERROR(INDEX(RECICLADORES!C:C,MATCH(D1098,RECICLADORES!B:B,0)),"")</f>
        <v/>
      </c>
      <c r="Q1098" t="str">
        <f>IFERROR(INDEX(RECICLADORES!O:O,MATCH(D1098,RECICLADORES!B:B,0)),"")</f>
        <v/>
      </c>
      <c r="S1098" s="28"/>
      <c r="V1098" s="86"/>
    </row>
    <row r="1099" spans="1:22" x14ac:dyDescent="0.25">
      <c r="C1099" s="13"/>
      <c r="I1099" s="23"/>
      <c r="J1099" s="29" t="str">
        <f t="shared" si="15"/>
        <v/>
      </c>
      <c r="L1099" s="103"/>
      <c r="P1099" t="str">
        <f>IFERROR(INDEX(RECICLADORES!C:C,MATCH(D1099,RECICLADORES!B:B,0)),"")</f>
        <v/>
      </c>
      <c r="Q1099" t="str">
        <f>IFERROR(INDEX(RECICLADORES!O:O,MATCH(D1099,RECICLADORES!B:B,0)),"")</f>
        <v/>
      </c>
      <c r="S1099" s="28"/>
      <c r="V1099" s="86"/>
    </row>
    <row r="1100" spans="1:22" x14ac:dyDescent="0.25">
      <c r="A1100" s="39"/>
      <c r="C1100" s="13"/>
      <c r="I1100" s="23"/>
      <c r="J1100" s="29" t="str">
        <f t="shared" si="15"/>
        <v/>
      </c>
      <c r="L1100" s="103"/>
      <c r="P1100" t="str">
        <f>IFERROR(INDEX(RECICLADORES!C:C,MATCH(D1100,RECICLADORES!B:B,0)),"")</f>
        <v/>
      </c>
      <c r="Q1100" t="str">
        <f>IFERROR(INDEX(RECICLADORES!O:O,MATCH(D1100,RECICLADORES!B:B,0)),"")</f>
        <v/>
      </c>
      <c r="S1100" s="28"/>
      <c r="V1100" s="86"/>
    </row>
    <row r="1101" spans="1:22" x14ac:dyDescent="0.25">
      <c r="C1101" s="13"/>
      <c r="I1101" s="23"/>
      <c r="J1101" s="29" t="str">
        <f t="shared" si="15"/>
        <v/>
      </c>
      <c r="L1101" s="103"/>
      <c r="P1101" t="str">
        <f>IFERROR(INDEX(RECICLADORES!C:C,MATCH(D1101,RECICLADORES!B:B,0)),"")</f>
        <v/>
      </c>
      <c r="Q1101" t="str">
        <f>IFERROR(INDEX(RECICLADORES!O:O,MATCH(D1101,RECICLADORES!B:B,0)),"")</f>
        <v/>
      </c>
      <c r="S1101" s="28"/>
      <c r="V1101" s="86"/>
    </row>
    <row r="1102" spans="1:22" x14ac:dyDescent="0.25">
      <c r="A1102" s="39"/>
      <c r="C1102" s="13"/>
      <c r="I1102" s="23"/>
      <c r="J1102" s="29" t="str">
        <f t="shared" si="15"/>
        <v/>
      </c>
      <c r="L1102" s="103"/>
      <c r="P1102" t="str">
        <f>IFERROR(INDEX(RECICLADORES!C:C,MATCH(D1102,RECICLADORES!B:B,0)),"")</f>
        <v/>
      </c>
      <c r="Q1102" t="str">
        <f>IFERROR(INDEX(RECICLADORES!O:O,MATCH(D1102,RECICLADORES!B:B,0)),"")</f>
        <v/>
      </c>
      <c r="S1102" s="28"/>
      <c r="V1102" s="86"/>
    </row>
    <row r="1103" spans="1:22" x14ac:dyDescent="0.25">
      <c r="C1103" s="13"/>
      <c r="I1103" s="23"/>
      <c r="J1103" s="29" t="str">
        <f t="shared" si="15"/>
        <v/>
      </c>
      <c r="L1103" s="103"/>
      <c r="P1103" t="str">
        <f>IFERROR(INDEX(RECICLADORES!C:C,MATCH(D1103,RECICLADORES!B:B,0)),"")</f>
        <v/>
      </c>
      <c r="Q1103" t="str">
        <f>IFERROR(INDEX(RECICLADORES!O:O,MATCH(D1103,RECICLADORES!B:B,0)),"")</f>
        <v/>
      </c>
      <c r="S1103" s="28"/>
      <c r="V1103" s="86"/>
    </row>
    <row r="1104" spans="1:22" x14ac:dyDescent="0.25">
      <c r="A1104" s="39"/>
      <c r="C1104" s="13"/>
      <c r="I1104" s="23"/>
      <c r="J1104" s="29" t="str">
        <f t="shared" si="15"/>
        <v/>
      </c>
      <c r="L1104" s="103"/>
      <c r="P1104" t="str">
        <f>IFERROR(INDEX(RECICLADORES!C:C,MATCH(D1104,RECICLADORES!B:B,0)),"")</f>
        <v/>
      </c>
      <c r="Q1104" t="str">
        <f>IFERROR(INDEX(RECICLADORES!O:O,MATCH(D1104,RECICLADORES!B:B,0)),"")</f>
        <v/>
      </c>
      <c r="S1104" s="28"/>
      <c r="V1104" s="86"/>
    </row>
    <row r="1105" spans="1:22" x14ac:dyDescent="0.25">
      <c r="C1105" s="13"/>
      <c r="I1105" s="23"/>
      <c r="J1105" s="29" t="str">
        <f t="shared" si="15"/>
        <v/>
      </c>
      <c r="L1105" s="103"/>
      <c r="Q1105"/>
      <c r="S1105" s="28"/>
      <c r="V1105" s="86"/>
    </row>
    <row r="1106" spans="1:22" x14ac:dyDescent="0.25">
      <c r="A1106" s="39"/>
      <c r="C1106" s="13"/>
      <c r="I1106" s="23"/>
      <c r="J1106" s="29"/>
      <c r="L1106" s="103"/>
      <c r="P1106" t="str">
        <f>IFERROR(INDEX(RECICLADORES!C:C,MATCH(D1106,RECICLADORES!B:B,0)),"")</f>
        <v/>
      </c>
      <c r="Q1106" t="str">
        <f>IFERROR(INDEX(RECICLADORES!O:O,MATCH(D1106,RECICLADORES!B:B,0)),"")</f>
        <v/>
      </c>
      <c r="S1106" s="28"/>
      <c r="V1106" s="86"/>
    </row>
    <row r="1107" spans="1:22" x14ac:dyDescent="0.25">
      <c r="C1107" s="13"/>
      <c r="I1107" s="23"/>
      <c r="J1107" s="29" t="str">
        <f>IF(C1107="","",INT((DAY(C1107)-1)/7)+1)</f>
        <v/>
      </c>
      <c r="L1107" s="103"/>
      <c r="P1107" t="str">
        <f>IFERROR(INDEX(RECICLADORES!C:C,MATCH(D1107,RECICLADORES!B:B,0)),"")</f>
        <v/>
      </c>
      <c r="Q1107" t="str">
        <f>IFERROR(INDEX(RECICLADORES!O:O,MATCH(D1107,RECICLADORES!B:B,0)),"")</f>
        <v/>
      </c>
      <c r="S1107" s="28"/>
      <c r="V1107" s="86"/>
    </row>
    <row r="1108" spans="1:22" x14ac:dyDescent="0.25">
      <c r="A1108" s="39"/>
      <c r="C1108" s="13"/>
      <c r="I1108"/>
      <c r="J1108" s="29" t="str">
        <f>IF(C1108="","",INT((DAY(C1108)-1)/7)+1)</f>
        <v/>
      </c>
      <c r="L1108" s="103"/>
      <c r="P1108" t="str">
        <f>IFERROR(INDEX(RECICLADORES!C:C,MATCH(D1108,RECICLADORES!B:B,0)),"")</f>
        <v/>
      </c>
      <c r="Q1108" t="str">
        <f>IFERROR(INDEX(RECICLADORES!O:O,MATCH(D1108,RECICLADORES!B:B,0)),"")</f>
        <v/>
      </c>
      <c r="S1108" s="28"/>
      <c r="V1108" s="86"/>
    </row>
    <row r="1109" spans="1:22" x14ac:dyDescent="0.25">
      <c r="L1109" s="103"/>
      <c r="V1109" s="86"/>
    </row>
    <row r="1110" spans="1:22" x14ac:dyDescent="0.25">
      <c r="L1110" s="103"/>
      <c r="V1110" s="86"/>
    </row>
    <row r="1111" spans="1:22" x14ac:dyDescent="0.25">
      <c r="L1111" s="103"/>
      <c r="V1111" s="86"/>
    </row>
    <row r="1112" spans="1:22" x14ac:dyDescent="0.25">
      <c r="L1112" s="103"/>
      <c r="V1112" s="86"/>
    </row>
    <row r="1113" spans="1:22" x14ac:dyDescent="0.25">
      <c r="L1113" s="103"/>
      <c r="V1113" s="86"/>
    </row>
    <row r="1114" spans="1:22" x14ac:dyDescent="0.25">
      <c r="L1114" s="103"/>
      <c r="V1114" s="86"/>
    </row>
    <row r="1115" spans="1:22" x14ac:dyDescent="0.25">
      <c r="L1115" s="103"/>
      <c r="V1115" s="86"/>
    </row>
    <row r="1116" spans="1:22" x14ac:dyDescent="0.25">
      <c r="L1116" s="103"/>
      <c r="V1116" s="86"/>
    </row>
    <row r="1117" spans="1:22" x14ac:dyDescent="0.25">
      <c r="L1117" s="103"/>
      <c r="V1117" s="86"/>
    </row>
    <row r="1118" spans="1:22" x14ac:dyDescent="0.25">
      <c r="L1118" s="103"/>
      <c r="V1118" s="86"/>
    </row>
    <row r="1119" spans="1:22" x14ac:dyDescent="0.25">
      <c r="L1119" s="103"/>
      <c r="V1119" s="86"/>
    </row>
    <row r="1120" spans="1:22" x14ac:dyDescent="0.25">
      <c r="L1120" s="103"/>
      <c r="V1120" s="86"/>
    </row>
    <row r="1121" spans="12:22" x14ac:dyDescent="0.25">
      <c r="L1121" s="103"/>
      <c r="V1121" s="86"/>
    </row>
    <row r="1122" spans="12:22" x14ac:dyDescent="0.25">
      <c r="L1122" s="103"/>
      <c r="V1122" s="86"/>
    </row>
    <row r="1123" spans="12:22" x14ac:dyDescent="0.25">
      <c r="L1123" s="103"/>
      <c r="V1123" s="86"/>
    </row>
    <row r="1124" spans="12:22" x14ac:dyDescent="0.25">
      <c r="L1124" s="103"/>
      <c r="V1124" s="86"/>
    </row>
    <row r="1125" spans="12:22" x14ac:dyDescent="0.25">
      <c r="L1125" s="103"/>
      <c r="V1125" s="86"/>
    </row>
    <row r="1126" spans="12:22" x14ac:dyDescent="0.25">
      <c r="L1126" s="103"/>
      <c r="V1126" s="86"/>
    </row>
    <row r="1127" spans="12:22" x14ac:dyDescent="0.25">
      <c r="L1127" s="103"/>
      <c r="V1127" s="86"/>
    </row>
    <row r="1128" spans="12:22" x14ac:dyDescent="0.25">
      <c r="L1128" s="103"/>
      <c r="V1128" s="86"/>
    </row>
    <row r="1129" spans="12:22" x14ac:dyDescent="0.25">
      <c r="L1129" s="103"/>
      <c r="V1129" s="86"/>
    </row>
    <row r="1130" spans="12:22" x14ac:dyDescent="0.25">
      <c r="L1130" s="103"/>
      <c r="V1130" s="86"/>
    </row>
    <row r="1131" spans="12:22" x14ac:dyDescent="0.25">
      <c r="L1131" s="103"/>
      <c r="V1131" s="86"/>
    </row>
    <row r="1132" spans="12:22" x14ac:dyDescent="0.25">
      <c r="L1132" s="103"/>
      <c r="V1132" s="86"/>
    </row>
    <row r="1133" spans="12:22" x14ac:dyDescent="0.25">
      <c r="L1133" s="103"/>
      <c r="V1133" s="86"/>
    </row>
    <row r="1134" spans="12:22" x14ac:dyDescent="0.25">
      <c r="L1134" s="103"/>
      <c r="V1134" s="86"/>
    </row>
    <row r="1135" spans="12:22" x14ac:dyDescent="0.25">
      <c r="L1135" s="103"/>
      <c r="V1135" s="86"/>
    </row>
    <row r="1136" spans="12:22" x14ac:dyDescent="0.25">
      <c r="L1136" s="103"/>
      <c r="V1136" s="86"/>
    </row>
    <row r="1137" spans="12:22" x14ac:dyDescent="0.25">
      <c r="L1137" s="103"/>
      <c r="V1137" s="86"/>
    </row>
    <row r="1138" spans="12:22" x14ac:dyDescent="0.25">
      <c r="L1138" s="103"/>
      <c r="V1138" s="86"/>
    </row>
    <row r="1139" spans="12:22" x14ac:dyDescent="0.25">
      <c r="L1139" s="103"/>
      <c r="V1139" s="86"/>
    </row>
    <row r="1140" spans="12:22" x14ac:dyDescent="0.25">
      <c r="L1140" s="103"/>
      <c r="V1140" s="86"/>
    </row>
    <row r="1141" spans="12:22" x14ac:dyDescent="0.25">
      <c r="L1141" s="103"/>
      <c r="V1141" s="86"/>
    </row>
    <row r="1142" spans="12:22" x14ac:dyDescent="0.25">
      <c r="L1142" s="103"/>
      <c r="V1142" s="86"/>
    </row>
    <row r="1143" spans="12:22" x14ac:dyDescent="0.25">
      <c r="L1143" s="103"/>
      <c r="V1143" s="86"/>
    </row>
    <row r="1144" spans="12:22" x14ac:dyDescent="0.25">
      <c r="L1144" s="103"/>
      <c r="V1144" s="86"/>
    </row>
    <row r="1145" spans="12:22" x14ac:dyDescent="0.25">
      <c r="L1145" s="103"/>
      <c r="V1145" s="86"/>
    </row>
    <row r="1146" spans="12:22" x14ac:dyDescent="0.25">
      <c r="L1146" s="103"/>
      <c r="V1146" s="86"/>
    </row>
    <row r="1147" spans="12:22" x14ac:dyDescent="0.25">
      <c r="L1147" s="103"/>
      <c r="V1147" s="86"/>
    </row>
    <row r="1148" spans="12:22" x14ac:dyDescent="0.25">
      <c r="L1148" s="103"/>
      <c r="V1148" s="86"/>
    </row>
    <row r="1149" spans="12:22" x14ac:dyDescent="0.25">
      <c r="L1149" s="103"/>
      <c r="V1149" s="86"/>
    </row>
    <row r="1150" spans="12:22" x14ac:dyDescent="0.25">
      <c r="L1150" s="103"/>
      <c r="V1150" s="86"/>
    </row>
    <row r="1151" spans="12:22" x14ac:dyDescent="0.25">
      <c r="L1151" s="103"/>
      <c r="V1151" s="86"/>
    </row>
    <row r="1152" spans="12:22" x14ac:dyDescent="0.25">
      <c r="L1152" s="103"/>
      <c r="V1152" s="86"/>
    </row>
    <row r="1153" spans="12:22" x14ac:dyDescent="0.25">
      <c r="L1153" s="103"/>
      <c r="V1153" s="86"/>
    </row>
    <row r="1154" spans="12:22" x14ac:dyDescent="0.25">
      <c r="L1154" s="103"/>
      <c r="V1154" s="86"/>
    </row>
    <row r="1155" spans="12:22" x14ac:dyDescent="0.25">
      <c r="L1155" s="103"/>
      <c r="V1155" s="86"/>
    </row>
    <row r="1156" spans="12:22" x14ac:dyDescent="0.25">
      <c r="L1156" s="103"/>
      <c r="V1156" s="86"/>
    </row>
    <row r="1157" spans="12:22" x14ac:dyDescent="0.25">
      <c r="L1157" s="103"/>
      <c r="V1157" s="86"/>
    </row>
    <row r="1158" spans="12:22" x14ac:dyDescent="0.25">
      <c r="L1158" s="103"/>
      <c r="V1158" s="86"/>
    </row>
    <row r="1159" spans="12:22" x14ac:dyDescent="0.25">
      <c r="L1159" s="103"/>
      <c r="V1159" s="86"/>
    </row>
    <row r="1160" spans="12:22" x14ac:dyDescent="0.25">
      <c r="L1160" s="103"/>
      <c r="V1160" s="86"/>
    </row>
    <row r="1161" spans="12:22" x14ac:dyDescent="0.25">
      <c r="L1161" s="103"/>
      <c r="V1161" s="86"/>
    </row>
    <row r="1162" spans="12:22" x14ac:dyDescent="0.25">
      <c r="L1162" s="103"/>
      <c r="V1162" s="86"/>
    </row>
    <row r="1163" spans="12:22" x14ac:dyDescent="0.25">
      <c r="L1163" s="103"/>
      <c r="V1163" s="86"/>
    </row>
    <row r="1164" spans="12:22" x14ac:dyDescent="0.25">
      <c r="L1164" s="103"/>
      <c r="V1164" s="86"/>
    </row>
    <row r="1165" spans="12:22" x14ac:dyDescent="0.25">
      <c r="L1165" s="103"/>
      <c r="V1165" s="86"/>
    </row>
    <row r="1166" spans="12:22" x14ac:dyDescent="0.25">
      <c r="L1166" s="103"/>
      <c r="V1166" s="86"/>
    </row>
    <row r="1167" spans="12:22" x14ac:dyDescent="0.25">
      <c r="L1167" s="103"/>
      <c r="V1167" s="86"/>
    </row>
    <row r="1168" spans="12:22" x14ac:dyDescent="0.25">
      <c r="L1168" s="103"/>
      <c r="V1168" s="86"/>
    </row>
    <row r="1169" spans="12:22" x14ac:dyDescent="0.25">
      <c r="L1169" s="103"/>
      <c r="V1169" s="86"/>
    </row>
    <row r="1170" spans="12:22" x14ac:dyDescent="0.25">
      <c r="L1170" s="103"/>
      <c r="V1170" s="86"/>
    </row>
    <row r="1171" spans="12:22" x14ac:dyDescent="0.25">
      <c r="L1171" s="103"/>
      <c r="V1171" s="86"/>
    </row>
    <row r="1172" spans="12:22" x14ac:dyDescent="0.25">
      <c r="L1172" s="103"/>
      <c r="V1172" s="86"/>
    </row>
    <row r="1173" spans="12:22" x14ac:dyDescent="0.25">
      <c r="L1173" s="103"/>
      <c r="V1173" s="86"/>
    </row>
    <row r="1174" spans="12:22" x14ac:dyDescent="0.25">
      <c r="L1174" s="103"/>
      <c r="V1174" s="86"/>
    </row>
    <row r="1175" spans="12:22" x14ac:dyDescent="0.25">
      <c r="L1175" s="103"/>
      <c r="V1175" s="86"/>
    </row>
    <row r="1176" spans="12:22" x14ac:dyDescent="0.25">
      <c r="L1176" s="103"/>
      <c r="V1176" s="86"/>
    </row>
    <row r="1177" spans="12:22" x14ac:dyDescent="0.25">
      <c r="L1177" s="103"/>
      <c r="V1177" s="86"/>
    </row>
    <row r="1178" spans="12:22" x14ac:dyDescent="0.25">
      <c r="L1178" s="103"/>
      <c r="V1178" s="86"/>
    </row>
    <row r="1179" spans="12:22" x14ac:dyDescent="0.25">
      <c r="L1179" s="103"/>
      <c r="V1179" s="86"/>
    </row>
    <row r="1180" spans="12:22" x14ac:dyDescent="0.25">
      <c r="L1180" s="103"/>
      <c r="V1180" s="86"/>
    </row>
    <row r="1181" spans="12:22" x14ac:dyDescent="0.25">
      <c r="L1181" s="103"/>
      <c r="V1181" s="86"/>
    </row>
    <row r="1182" spans="12:22" x14ac:dyDescent="0.25">
      <c r="L1182" s="103"/>
      <c r="V1182" s="86"/>
    </row>
    <row r="1183" spans="12:22" x14ac:dyDescent="0.25">
      <c r="L1183" s="103"/>
      <c r="V1183" s="86"/>
    </row>
    <row r="1184" spans="12:22" x14ac:dyDescent="0.25">
      <c r="L1184" s="103"/>
      <c r="V1184" s="86"/>
    </row>
    <row r="1185" spans="12:22" x14ac:dyDescent="0.25">
      <c r="L1185" s="103"/>
      <c r="V1185" s="86"/>
    </row>
    <row r="1186" spans="12:22" x14ac:dyDescent="0.25">
      <c r="L1186" s="103"/>
      <c r="V1186" s="86"/>
    </row>
    <row r="1187" spans="12:22" x14ac:dyDescent="0.25">
      <c r="L1187" s="103"/>
      <c r="V1187" s="86"/>
    </row>
    <row r="1188" spans="12:22" x14ac:dyDescent="0.25">
      <c r="L1188" s="103"/>
      <c r="V1188" s="86"/>
    </row>
    <row r="1189" spans="12:22" x14ac:dyDescent="0.25">
      <c r="L1189" s="103"/>
      <c r="V1189" s="86"/>
    </row>
    <row r="1190" spans="12:22" x14ac:dyDescent="0.25">
      <c r="L1190" s="103"/>
      <c r="V1190" s="86"/>
    </row>
    <row r="1191" spans="12:22" x14ac:dyDescent="0.25">
      <c r="L1191" s="103"/>
      <c r="V1191" s="86"/>
    </row>
    <row r="1192" spans="12:22" x14ac:dyDescent="0.25">
      <c r="L1192" s="103"/>
      <c r="V1192" s="86"/>
    </row>
    <row r="1193" spans="12:22" x14ac:dyDescent="0.25">
      <c r="L1193" s="103"/>
      <c r="V1193" s="86"/>
    </row>
    <row r="1194" spans="12:22" x14ac:dyDescent="0.25">
      <c r="L1194" s="103"/>
      <c r="V1194" s="86"/>
    </row>
    <row r="1195" spans="12:22" x14ac:dyDescent="0.25">
      <c r="L1195" s="103"/>
      <c r="V1195" s="86"/>
    </row>
    <row r="1196" spans="12:22" x14ac:dyDescent="0.25">
      <c r="L1196" s="103"/>
      <c r="V1196" s="86"/>
    </row>
    <row r="1197" spans="12:22" x14ac:dyDescent="0.25">
      <c r="L1197" s="103"/>
      <c r="V1197" s="86"/>
    </row>
    <row r="1198" spans="12:22" x14ac:dyDescent="0.25">
      <c r="L1198" s="103"/>
      <c r="V1198" s="86"/>
    </row>
    <row r="1199" spans="12:22" x14ac:dyDescent="0.25">
      <c r="L1199" s="103"/>
      <c r="V1199" s="86"/>
    </row>
    <row r="1200" spans="12:22" x14ac:dyDescent="0.25">
      <c r="L1200" s="103"/>
      <c r="V1200" s="86"/>
    </row>
    <row r="1201" spans="12:22" x14ac:dyDescent="0.25">
      <c r="L1201" s="103"/>
      <c r="V1201" s="86"/>
    </row>
    <row r="1202" spans="12:22" x14ac:dyDescent="0.25">
      <c r="L1202" s="103"/>
      <c r="V1202" s="86"/>
    </row>
    <row r="1203" spans="12:22" x14ac:dyDescent="0.25">
      <c r="L1203" s="103"/>
      <c r="V1203" s="86"/>
    </row>
    <row r="1204" spans="12:22" x14ac:dyDescent="0.25">
      <c r="L1204" s="103"/>
      <c r="V1204" s="86"/>
    </row>
    <row r="1205" spans="12:22" x14ac:dyDescent="0.25">
      <c r="L1205" s="103"/>
      <c r="V1205" s="86"/>
    </row>
    <row r="1206" spans="12:22" x14ac:dyDescent="0.25">
      <c r="L1206" s="103"/>
      <c r="V1206" s="86"/>
    </row>
    <row r="1207" spans="12:22" x14ac:dyDescent="0.25">
      <c r="L1207" s="103"/>
      <c r="V1207" s="86"/>
    </row>
    <row r="1208" spans="12:22" x14ac:dyDescent="0.25">
      <c r="L1208" s="103"/>
      <c r="V1208" s="86"/>
    </row>
    <row r="1209" spans="12:22" x14ac:dyDescent="0.25">
      <c r="L1209" s="103"/>
      <c r="V1209" s="86"/>
    </row>
    <row r="1210" spans="12:22" x14ac:dyDescent="0.25">
      <c r="L1210" s="103"/>
      <c r="V1210" s="86"/>
    </row>
    <row r="1211" spans="12:22" x14ac:dyDescent="0.25">
      <c r="L1211" s="103"/>
      <c r="V1211" s="86"/>
    </row>
    <row r="1212" spans="12:22" x14ac:dyDescent="0.25">
      <c r="L1212" s="103"/>
      <c r="V1212" s="86"/>
    </row>
    <row r="1213" spans="12:22" x14ac:dyDescent="0.25">
      <c r="L1213" s="103"/>
      <c r="V1213" s="86"/>
    </row>
    <row r="1214" spans="12:22" x14ac:dyDescent="0.25">
      <c r="L1214" s="103"/>
      <c r="V1214" s="86"/>
    </row>
    <row r="1215" spans="12:22" x14ac:dyDescent="0.25">
      <c r="L1215" s="103"/>
      <c r="V1215" s="86"/>
    </row>
    <row r="1216" spans="12:22" x14ac:dyDescent="0.25">
      <c r="L1216" s="103"/>
      <c r="V1216" s="86"/>
    </row>
    <row r="1217" spans="12:22" x14ac:dyDescent="0.25">
      <c r="L1217" s="103"/>
      <c r="V1217" s="86"/>
    </row>
    <row r="1218" spans="12:22" x14ac:dyDescent="0.25">
      <c r="L1218" s="103"/>
      <c r="V1218" s="86"/>
    </row>
    <row r="1219" spans="12:22" x14ac:dyDescent="0.25">
      <c r="L1219" s="103"/>
      <c r="V1219" s="86"/>
    </row>
    <row r="1220" spans="12:22" x14ac:dyDescent="0.25">
      <c r="L1220" s="103"/>
      <c r="V1220" s="86"/>
    </row>
    <row r="1221" spans="12:22" x14ac:dyDescent="0.25">
      <c r="L1221" s="103"/>
      <c r="V1221" s="86"/>
    </row>
    <row r="1222" spans="12:22" x14ac:dyDescent="0.25">
      <c r="L1222" s="103"/>
      <c r="V1222" s="86"/>
    </row>
    <row r="1223" spans="12:22" x14ac:dyDescent="0.25">
      <c r="L1223" s="103"/>
      <c r="V1223" s="86"/>
    </row>
    <row r="1224" spans="12:22" x14ac:dyDescent="0.25">
      <c r="L1224" s="103"/>
      <c r="V1224" s="86"/>
    </row>
    <row r="1225" spans="12:22" x14ac:dyDescent="0.25">
      <c r="L1225" s="103"/>
      <c r="V1225" s="86"/>
    </row>
    <row r="1226" spans="12:22" x14ac:dyDescent="0.25">
      <c r="L1226" s="103"/>
      <c r="V1226" s="86"/>
    </row>
    <row r="1227" spans="12:22" x14ac:dyDescent="0.25">
      <c r="L1227" s="103"/>
      <c r="V1227" s="86"/>
    </row>
    <row r="1228" spans="12:22" x14ac:dyDescent="0.25">
      <c r="L1228" s="103"/>
      <c r="V1228" s="86"/>
    </row>
    <row r="1229" spans="12:22" x14ac:dyDescent="0.25">
      <c r="L1229" s="103"/>
      <c r="V1229" s="86"/>
    </row>
    <row r="1230" spans="12:22" x14ac:dyDescent="0.25">
      <c r="L1230" s="103"/>
      <c r="V1230" s="86"/>
    </row>
    <row r="1231" spans="12:22" x14ac:dyDescent="0.25">
      <c r="L1231" s="103"/>
      <c r="V1231" s="86"/>
    </row>
    <row r="1232" spans="12:22" x14ac:dyDescent="0.25">
      <c r="L1232" s="103"/>
      <c r="V1232" s="86"/>
    </row>
    <row r="1233" spans="12:22" x14ac:dyDescent="0.25">
      <c r="L1233" s="103"/>
      <c r="V1233" s="86"/>
    </row>
    <row r="1234" spans="12:22" x14ac:dyDescent="0.25">
      <c r="L1234" s="103"/>
      <c r="V1234" s="86"/>
    </row>
    <row r="1235" spans="12:22" x14ac:dyDescent="0.25">
      <c r="L1235" s="103"/>
      <c r="V1235" s="86"/>
    </row>
    <row r="1236" spans="12:22" x14ac:dyDescent="0.25">
      <c r="L1236" s="103"/>
      <c r="V1236" s="86"/>
    </row>
    <row r="1237" spans="12:22" x14ac:dyDescent="0.25">
      <c r="L1237" s="103"/>
      <c r="V1237" s="86"/>
    </row>
    <row r="1238" spans="12:22" x14ac:dyDescent="0.25">
      <c r="L1238" s="103"/>
      <c r="V1238" s="86"/>
    </row>
    <row r="1239" spans="12:22" x14ac:dyDescent="0.25">
      <c r="L1239" s="103"/>
      <c r="V1239" s="86"/>
    </row>
    <row r="1240" spans="12:22" x14ac:dyDescent="0.25">
      <c r="L1240" s="103"/>
      <c r="V1240" s="86"/>
    </row>
    <row r="1241" spans="12:22" x14ac:dyDescent="0.25">
      <c r="L1241" s="103"/>
      <c r="V1241" s="86"/>
    </row>
    <row r="1242" spans="12:22" x14ac:dyDescent="0.25">
      <c r="L1242" s="103"/>
      <c r="V1242" s="86"/>
    </row>
    <row r="1243" spans="12:22" x14ac:dyDescent="0.25">
      <c r="L1243" s="103"/>
      <c r="V1243" s="86"/>
    </row>
    <row r="1244" spans="12:22" x14ac:dyDescent="0.25">
      <c r="L1244" s="103"/>
      <c r="V1244" s="86"/>
    </row>
    <row r="1245" spans="12:22" x14ac:dyDescent="0.25">
      <c r="L1245" s="103"/>
      <c r="V1245" s="86"/>
    </row>
    <row r="1246" spans="12:22" x14ac:dyDescent="0.25">
      <c r="L1246" s="103"/>
      <c r="V1246" s="86"/>
    </row>
    <row r="1247" spans="12:22" x14ac:dyDescent="0.25">
      <c r="L1247" s="103"/>
      <c r="V1247" s="86"/>
    </row>
    <row r="1248" spans="12:22" x14ac:dyDescent="0.25">
      <c r="L1248" s="103"/>
      <c r="V1248" s="86"/>
    </row>
    <row r="1249" spans="12:22" x14ac:dyDescent="0.25">
      <c r="L1249" s="103"/>
      <c r="V1249" s="86"/>
    </row>
    <row r="1250" spans="12:22" x14ac:dyDescent="0.25">
      <c r="L1250" s="103"/>
      <c r="V1250" s="86"/>
    </row>
    <row r="1251" spans="12:22" x14ac:dyDescent="0.25">
      <c r="L1251" s="103"/>
      <c r="V1251" s="86"/>
    </row>
    <row r="1252" spans="12:22" x14ac:dyDescent="0.25">
      <c r="L1252" s="103"/>
      <c r="V1252" s="86"/>
    </row>
    <row r="1253" spans="12:22" x14ac:dyDescent="0.25">
      <c r="L1253" s="103"/>
      <c r="V1253" s="86"/>
    </row>
    <row r="1254" spans="12:22" x14ac:dyDescent="0.25">
      <c r="L1254" s="103"/>
      <c r="V1254" s="86"/>
    </row>
    <row r="1255" spans="12:22" x14ac:dyDescent="0.25">
      <c r="L1255" s="103"/>
      <c r="V1255" s="86"/>
    </row>
    <row r="1256" spans="12:22" x14ac:dyDescent="0.25">
      <c r="L1256" s="103"/>
      <c r="V1256" s="86"/>
    </row>
    <row r="1257" spans="12:22" x14ac:dyDescent="0.25">
      <c r="L1257" s="103"/>
      <c r="V1257" s="86"/>
    </row>
    <row r="1258" spans="12:22" x14ac:dyDescent="0.25">
      <c r="L1258" s="103"/>
      <c r="V1258" s="86"/>
    </row>
    <row r="1259" spans="12:22" x14ac:dyDescent="0.25">
      <c r="L1259" s="103"/>
      <c r="V1259" s="86"/>
    </row>
    <row r="1260" spans="12:22" x14ac:dyDescent="0.25">
      <c r="L1260" s="103"/>
      <c r="V1260" s="86"/>
    </row>
    <row r="1261" spans="12:22" x14ac:dyDescent="0.25">
      <c r="L1261" s="103"/>
      <c r="V1261" s="86"/>
    </row>
    <row r="1262" spans="12:22" x14ac:dyDescent="0.25">
      <c r="L1262" s="103"/>
      <c r="V1262" s="86"/>
    </row>
    <row r="1263" spans="12:22" x14ac:dyDescent="0.25">
      <c r="L1263" s="103"/>
      <c r="V1263" s="86"/>
    </row>
    <row r="1264" spans="12:22" x14ac:dyDescent="0.25">
      <c r="L1264" s="103"/>
      <c r="V1264" s="86"/>
    </row>
    <row r="1265" spans="12:22" x14ac:dyDescent="0.25">
      <c r="L1265" s="103"/>
      <c r="V1265" s="86"/>
    </row>
    <row r="1266" spans="12:22" x14ac:dyDescent="0.25">
      <c r="L1266" s="103"/>
      <c r="V1266" s="86"/>
    </row>
    <row r="1267" spans="12:22" x14ac:dyDescent="0.25">
      <c r="L1267" s="103"/>
      <c r="V1267" s="86"/>
    </row>
    <row r="1268" spans="12:22" x14ac:dyDescent="0.25">
      <c r="L1268" s="103"/>
      <c r="V1268" s="86"/>
    </row>
    <row r="1269" spans="12:22" x14ac:dyDescent="0.25">
      <c r="L1269" s="103"/>
      <c r="V1269" s="86"/>
    </row>
    <row r="1270" spans="12:22" x14ac:dyDescent="0.25">
      <c r="L1270" s="103"/>
      <c r="V1270" s="86"/>
    </row>
    <row r="1271" spans="12:22" x14ac:dyDescent="0.25">
      <c r="L1271" s="103"/>
      <c r="V1271" s="86"/>
    </row>
    <row r="1272" spans="12:22" x14ac:dyDescent="0.25">
      <c r="L1272" s="103"/>
      <c r="V1272" s="86"/>
    </row>
    <row r="1273" spans="12:22" x14ac:dyDescent="0.25">
      <c r="L1273" s="103"/>
      <c r="V1273" s="86"/>
    </row>
    <row r="1274" spans="12:22" x14ac:dyDescent="0.25">
      <c r="L1274" s="103"/>
      <c r="V1274" s="86"/>
    </row>
    <row r="1275" spans="12:22" x14ac:dyDescent="0.25">
      <c r="L1275" s="103"/>
      <c r="V1275" s="86"/>
    </row>
    <row r="1276" spans="12:22" x14ac:dyDescent="0.25">
      <c r="L1276" s="103"/>
      <c r="V1276" s="86"/>
    </row>
    <row r="1277" spans="12:22" x14ac:dyDescent="0.25">
      <c r="L1277" s="103"/>
      <c r="V1277" s="86"/>
    </row>
    <row r="1278" spans="12:22" x14ac:dyDescent="0.25">
      <c r="L1278" s="103"/>
      <c r="V1278" s="86"/>
    </row>
    <row r="1279" spans="12:22" x14ac:dyDescent="0.25">
      <c r="L1279" s="103"/>
      <c r="V1279" s="86"/>
    </row>
    <row r="1280" spans="12:22" x14ac:dyDescent="0.25">
      <c r="L1280" s="103"/>
      <c r="V1280" s="86"/>
    </row>
    <row r="1281" spans="12:22" x14ac:dyDescent="0.25">
      <c r="L1281" s="103"/>
      <c r="V1281" s="86"/>
    </row>
    <row r="1282" spans="12:22" x14ac:dyDescent="0.25">
      <c r="L1282" s="103"/>
      <c r="V1282" s="86"/>
    </row>
    <row r="1283" spans="12:22" x14ac:dyDescent="0.25">
      <c r="L1283" s="103"/>
      <c r="V1283" s="86"/>
    </row>
    <row r="1284" spans="12:22" x14ac:dyDescent="0.25">
      <c r="L1284" s="103"/>
      <c r="V1284" s="86"/>
    </row>
    <row r="1285" spans="12:22" x14ac:dyDescent="0.25">
      <c r="L1285" s="103"/>
      <c r="V1285" s="86"/>
    </row>
    <row r="1286" spans="12:22" x14ac:dyDescent="0.25">
      <c r="L1286" s="103"/>
      <c r="V1286" s="86"/>
    </row>
    <row r="1287" spans="12:22" x14ac:dyDescent="0.25">
      <c r="L1287" s="103"/>
      <c r="V1287" s="86"/>
    </row>
    <row r="1288" spans="12:22" x14ac:dyDescent="0.25">
      <c r="L1288" s="103"/>
      <c r="V1288" s="86"/>
    </row>
    <row r="1289" spans="12:22" x14ac:dyDescent="0.25">
      <c r="L1289" s="103"/>
      <c r="V1289" s="86"/>
    </row>
    <row r="1290" spans="12:22" x14ac:dyDescent="0.25">
      <c r="L1290" s="103"/>
      <c r="V1290" s="86"/>
    </row>
    <row r="1291" spans="12:22" x14ac:dyDescent="0.25">
      <c r="L1291" s="103"/>
      <c r="V1291" s="86"/>
    </row>
    <row r="1292" spans="12:22" x14ac:dyDescent="0.25">
      <c r="L1292" s="103"/>
      <c r="V1292" s="86"/>
    </row>
    <row r="1293" spans="12:22" x14ac:dyDescent="0.25">
      <c r="L1293" s="103"/>
      <c r="V1293" s="86"/>
    </row>
    <row r="1294" spans="12:22" x14ac:dyDescent="0.25">
      <c r="L1294" s="103"/>
      <c r="V1294" s="86"/>
    </row>
    <row r="1295" spans="12:22" x14ac:dyDescent="0.25">
      <c r="L1295" s="103"/>
      <c r="V1295" s="86"/>
    </row>
    <row r="1296" spans="12:22" x14ac:dyDescent="0.25">
      <c r="L1296" s="103"/>
      <c r="V1296" s="86"/>
    </row>
    <row r="1297" spans="12:22" x14ac:dyDescent="0.25">
      <c r="L1297" s="103"/>
      <c r="V1297" s="86"/>
    </row>
    <row r="1298" spans="12:22" x14ac:dyDescent="0.25">
      <c r="L1298" s="103"/>
      <c r="V1298" s="86"/>
    </row>
    <row r="1299" spans="12:22" x14ac:dyDescent="0.25">
      <c r="L1299" s="103"/>
      <c r="V1299" s="86"/>
    </row>
    <row r="1300" spans="12:22" x14ac:dyDescent="0.25">
      <c r="L1300" s="103"/>
      <c r="V1300" s="86"/>
    </row>
    <row r="1301" spans="12:22" x14ac:dyDescent="0.25">
      <c r="L1301" s="103"/>
      <c r="V1301" s="86"/>
    </row>
    <row r="1302" spans="12:22" x14ac:dyDescent="0.25">
      <c r="L1302" s="103"/>
      <c r="V1302" s="86"/>
    </row>
    <row r="1303" spans="12:22" x14ac:dyDescent="0.25">
      <c r="L1303" s="103"/>
      <c r="V1303" s="86"/>
    </row>
    <row r="1304" spans="12:22" x14ac:dyDescent="0.25">
      <c r="L1304" s="103"/>
      <c r="V1304" s="86"/>
    </row>
    <row r="1305" spans="12:22" x14ac:dyDescent="0.25">
      <c r="L1305" s="103"/>
      <c r="V1305" s="86"/>
    </row>
    <row r="1306" spans="12:22" x14ac:dyDescent="0.25">
      <c r="L1306" s="103"/>
      <c r="V1306" s="86"/>
    </row>
    <row r="1307" spans="12:22" x14ac:dyDescent="0.25">
      <c r="L1307" s="103"/>
      <c r="V1307" s="86"/>
    </row>
    <row r="1308" spans="12:22" x14ac:dyDescent="0.25">
      <c r="L1308" s="103"/>
      <c r="V1308" s="86"/>
    </row>
    <row r="1309" spans="12:22" x14ac:dyDescent="0.25">
      <c r="L1309" s="103"/>
      <c r="V1309" s="86"/>
    </row>
    <row r="1310" spans="12:22" x14ac:dyDescent="0.25">
      <c r="L1310" s="103"/>
      <c r="V1310" s="86"/>
    </row>
    <row r="1311" spans="12:22" x14ac:dyDescent="0.25">
      <c r="L1311" s="103"/>
      <c r="V1311" s="86"/>
    </row>
    <row r="1312" spans="12:22" x14ac:dyDescent="0.25">
      <c r="L1312" s="103"/>
      <c r="V1312" s="86"/>
    </row>
    <row r="1313" spans="12:22" x14ac:dyDescent="0.25">
      <c r="L1313" s="103"/>
      <c r="V1313" s="86"/>
    </row>
    <row r="1314" spans="12:22" x14ac:dyDescent="0.25">
      <c r="L1314" s="103"/>
      <c r="V1314" s="86"/>
    </row>
    <row r="1315" spans="12:22" x14ac:dyDescent="0.25">
      <c r="L1315" s="103"/>
      <c r="V1315" s="86"/>
    </row>
    <row r="1316" spans="12:22" x14ac:dyDescent="0.25">
      <c r="L1316" s="103"/>
      <c r="V1316" s="86"/>
    </row>
    <row r="1317" spans="12:22" x14ac:dyDescent="0.25">
      <c r="L1317" s="103"/>
      <c r="V1317" s="86"/>
    </row>
    <row r="1318" spans="12:22" x14ac:dyDescent="0.25">
      <c r="L1318" s="103"/>
      <c r="V1318" s="86"/>
    </row>
    <row r="1319" spans="12:22" x14ac:dyDescent="0.25">
      <c r="L1319" s="103"/>
      <c r="V1319" s="86"/>
    </row>
    <row r="1320" spans="12:22" x14ac:dyDescent="0.25">
      <c r="L1320" s="103"/>
      <c r="V1320" s="86"/>
    </row>
    <row r="1321" spans="12:22" x14ac:dyDescent="0.25">
      <c r="L1321" s="103"/>
      <c r="V1321" s="86"/>
    </row>
    <row r="1322" spans="12:22" x14ac:dyDescent="0.25">
      <c r="L1322" s="103"/>
      <c r="V1322" s="86"/>
    </row>
    <row r="1323" spans="12:22" x14ac:dyDescent="0.25">
      <c r="L1323" s="103"/>
      <c r="V1323" s="86"/>
    </row>
    <row r="1324" spans="12:22" x14ac:dyDescent="0.25">
      <c r="L1324" s="103"/>
      <c r="V1324" s="86"/>
    </row>
    <row r="1325" spans="12:22" x14ac:dyDescent="0.25">
      <c r="L1325" s="103"/>
      <c r="V1325" s="86"/>
    </row>
    <row r="1326" spans="12:22" x14ac:dyDescent="0.25">
      <c r="L1326" s="103"/>
      <c r="V1326" s="86"/>
    </row>
    <row r="1327" spans="12:22" x14ac:dyDescent="0.25">
      <c r="L1327" s="103"/>
      <c r="V1327" s="86"/>
    </row>
    <row r="1328" spans="12:22" x14ac:dyDescent="0.25">
      <c r="L1328" s="103"/>
      <c r="V1328" s="86"/>
    </row>
    <row r="1329" spans="12:22" x14ac:dyDescent="0.25">
      <c r="L1329" s="103"/>
      <c r="V1329" s="86"/>
    </row>
    <row r="1330" spans="12:22" x14ac:dyDescent="0.25">
      <c r="L1330" s="103"/>
      <c r="V1330" s="86"/>
    </row>
    <row r="1331" spans="12:22" x14ac:dyDescent="0.25">
      <c r="L1331" s="103"/>
      <c r="V1331" s="86"/>
    </row>
    <row r="1332" spans="12:22" x14ac:dyDescent="0.25">
      <c r="L1332" s="103"/>
      <c r="V1332" s="86"/>
    </row>
    <row r="1333" spans="12:22" x14ac:dyDescent="0.25">
      <c r="L1333" s="103"/>
      <c r="V1333" s="86"/>
    </row>
    <row r="1334" spans="12:22" x14ac:dyDescent="0.25">
      <c r="L1334" s="103"/>
      <c r="V1334" s="86"/>
    </row>
    <row r="1335" spans="12:22" x14ac:dyDescent="0.25">
      <c r="L1335" s="103"/>
      <c r="V1335" s="86"/>
    </row>
    <row r="1336" spans="12:22" x14ac:dyDescent="0.25">
      <c r="L1336" s="103"/>
      <c r="V1336" s="86"/>
    </row>
    <row r="1337" spans="12:22" x14ac:dyDescent="0.25">
      <c r="L1337" s="103"/>
      <c r="V1337" s="86"/>
    </row>
    <row r="1338" spans="12:22" x14ac:dyDescent="0.25">
      <c r="L1338" s="103"/>
      <c r="V1338" s="86"/>
    </row>
    <row r="1339" spans="12:22" x14ac:dyDescent="0.25">
      <c r="L1339" s="103"/>
      <c r="V1339" s="86"/>
    </row>
    <row r="1340" spans="12:22" x14ac:dyDescent="0.25">
      <c r="L1340" s="103"/>
      <c r="V1340" s="86"/>
    </row>
    <row r="1341" spans="12:22" x14ac:dyDescent="0.25">
      <c r="L1341" s="103"/>
      <c r="V1341" s="86"/>
    </row>
    <row r="1342" spans="12:22" x14ac:dyDescent="0.25">
      <c r="L1342" s="103"/>
      <c r="V1342" s="86"/>
    </row>
    <row r="1343" spans="12:22" x14ac:dyDescent="0.25">
      <c r="L1343" s="103"/>
      <c r="V1343" s="86"/>
    </row>
    <row r="1344" spans="12:22" x14ac:dyDescent="0.25">
      <c r="L1344" s="103"/>
      <c r="V1344" s="86"/>
    </row>
    <row r="1345" spans="12:22" x14ac:dyDescent="0.25">
      <c r="L1345" s="103"/>
      <c r="V1345" s="86"/>
    </row>
    <row r="1346" spans="12:22" x14ac:dyDescent="0.25">
      <c r="L1346" s="103"/>
      <c r="V1346" s="86"/>
    </row>
    <row r="1347" spans="12:22" x14ac:dyDescent="0.25">
      <c r="L1347" s="103"/>
      <c r="V1347" s="86"/>
    </row>
    <row r="1348" spans="12:22" x14ac:dyDescent="0.25">
      <c r="L1348" s="103"/>
      <c r="V1348" s="86"/>
    </row>
    <row r="1349" spans="12:22" x14ac:dyDescent="0.25">
      <c r="L1349" s="103"/>
      <c r="V1349" s="86"/>
    </row>
    <row r="1350" spans="12:22" x14ac:dyDescent="0.25">
      <c r="L1350" s="103"/>
      <c r="V1350" s="86"/>
    </row>
    <row r="1351" spans="12:22" x14ac:dyDescent="0.25">
      <c r="L1351" s="103"/>
      <c r="V1351" s="86"/>
    </row>
    <row r="1352" spans="12:22" x14ac:dyDescent="0.25">
      <c r="L1352" s="103"/>
      <c r="V1352" s="86"/>
    </row>
    <row r="1353" spans="12:22" x14ac:dyDescent="0.25">
      <c r="L1353" s="103"/>
      <c r="V1353" s="86"/>
    </row>
    <row r="1354" spans="12:22" x14ac:dyDescent="0.25">
      <c r="L1354" s="103"/>
      <c r="V1354" s="86"/>
    </row>
    <row r="1355" spans="12:22" x14ac:dyDescent="0.25">
      <c r="L1355" s="103"/>
      <c r="V1355" s="86"/>
    </row>
    <row r="1356" spans="12:22" x14ac:dyDescent="0.25">
      <c r="L1356" s="103"/>
      <c r="V1356" s="86"/>
    </row>
    <row r="1357" spans="12:22" x14ac:dyDescent="0.25">
      <c r="L1357" s="103"/>
      <c r="V1357" s="86"/>
    </row>
    <row r="1358" spans="12:22" x14ac:dyDescent="0.25">
      <c r="L1358" s="103"/>
      <c r="V1358" s="86"/>
    </row>
    <row r="1359" spans="12:22" x14ac:dyDescent="0.25">
      <c r="L1359" s="103"/>
      <c r="V1359" s="86"/>
    </row>
    <row r="1360" spans="12:22" x14ac:dyDescent="0.25">
      <c r="L1360" s="103"/>
      <c r="V1360" s="86"/>
    </row>
    <row r="1361" spans="12:22" x14ac:dyDescent="0.25">
      <c r="L1361" s="103"/>
      <c r="V1361" s="86"/>
    </row>
    <row r="1362" spans="12:22" x14ac:dyDescent="0.25">
      <c r="L1362" s="103"/>
      <c r="V1362" s="86"/>
    </row>
    <row r="1363" spans="12:22" x14ac:dyDescent="0.25">
      <c r="L1363" s="103"/>
      <c r="V1363" s="86"/>
    </row>
    <row r="1364" spans="12:22" x14ac:dyDescent="0.25">
      <c r="L1364" s="103"/>
      <c r="V1364" s="86"/>
    </row>
    <row r="1365" spans="12:22" x14ac:dyDescent="0.25">
      <c r="L1365" s="103"/>
      <c r="V1365" s="86"/>
    </row>
    <row r="1366" spans="12:22" x14ac:dyDescent="0.25">
      <c r="L1366" s="103"/>
      <c r="V1366" s="86"/>
    </row>
    <row r="1367" spans="12:22" x14ac:dyDescent="0.25">
      <c r="L1367" s="103"/>
      <c r="V1367" s="86"/>
    </row>
    <row r="1368" spans="12:22" x14ac:dyDescent="0.25">
      <c r="L1368" s="103"/>
      <c r="V1368" s="86"/>
    </row>
    <row r="1369" spans="12:22" x14ac:dyDescent="0.25">
      <c r="L1369" s="103"/>
      <c r="V1369" s="86"/>
    </row>
    <row r="1370" spans="12:22" x14ac:dyDescent="0.25">
      <c r="L1370" s="103"/>
      <c r="V1370" s="86"/>
    </row>
    <row r="1371" spans="12:22" x14ac:dyDescent="0.25">
      <c r="L1371" s="103"/>
      <c r="V1371" s="86"/>
    </row>
    <row r="1372" spans="12:22" x14ac:dyDescent="0.25">
      <c r="L1372" s="103"/>
      <c r="V1372" s="86"/>
    </row>
    <row r="1373" spans="12:22" x14ac:dyDescent="0.25">
      <c r="L1373" s="103"/>
      <c r="V1373" s="86"/>
    </row>
    <row r="1374" spans="12:22" x14ac:dyDescent="0.25">
      <c r="L1374" s="103"/>
      <c r="V1374" s="86"/>
    </row>
    <row r="1375" spans="12:22" x14ac:dyDescent="0.25">
      <c r="L1375" s="103"/>
      <c r="V1375" s="86"/>
    </row>
    <row r="1376" spans="12:22" x14ac:dyDescent="0.25">
      <c r="L1376" s="103"/>
      <c r="V1376" s="86"/>
    </row>
    <row r="1377" spans="12:22" x14ac:dyDescent="0.25">
      <c r="L1377" s="103"/>
      <c r="V1377" s="86"/>
    </row>
    <row r="1378" spans="12:22" x14ac:dyDescent="0.25">
      <c r="L1378" s="103"/>
      <c r="V1378" s="86"/>
    </row>
    <row r="1379" spans="12:22" x14ac:dyDescent="0.25">
      <c r="L1379" s="103"/>
      <c r="V1379" s="86"/>
    </row>
    <row r="1380" spans="12:22" x14ac:dyDescent="0.25">
      <c r="L1380" s="103"/>
      <c r="V1380" s="86"/>
    </row>
    <row r="1381" spans="12:22" x14ac:dyDescent="0.25">
      <c r="L1381" s="103"/>
      <c r="V1381" s="86"/>
    </row>
    <row r="1382" spans="12:22" x14ac:dyDescent="0.25">
      <c r="L1382" s="103"/>
      <c r="V1382" s="86"/>
    </row>
    <row r="1383" spans="12:22" x14ac:dyDescent="0.25">
      <c r="L1383" s="103"/>
      <c r="V1383" s="86"/>
    </row>
    <row r="1384" spans="12:22" x14ac:dyDescent="0.25">
      <c r="L1384" s="103"/>
      <c r="V1384" s="86"/>
    </row>
    <row r="1385" spans="12:22" x14ac:dyDescent="0.25">
      <c r="L1385" s="103"/>
      <c r="V1385" s="86"/>
    </row>
    <row r="1386" spans="12:22" x14ac:dyDescent="0.25">
      <c r="L1386" s="103"/>
      <c r="V1386" s="86"/>
    </row>
    <row r="1387" spans="12:22" x14ac:dyDescent="0.25">
      <c r="L1387" s="103"/>
      <c r="V1387" s="86"/>
    </row>
    <row r="1388" spans="12:22" x14ac:dyDescent="0.25">
      <c r="L1388" s="103"/>
      <c r="V1388" s="86"/>
    </row>
    <row r="1389" spans="12:22" x14ac:dyDescent="0.25">
      <c r="L1389" s="103"/>
      <c r="V1389" s="86"/>
    </row>
    <row r="1390" spans="12:22" x14ac:dyDescent="0.25">
      <c r="L1390" s="103"/>
      <c r="V1390" s="86"/>
    </row>
    <row r="1391" spans="12:22" x14ac:dyDescent="0.25">
      <c r="L1391" s="103"/>
      <c r="V1391" s="86"/>
    </row>
    <row r="1392" spans="12:22" x14ac:dyDescent="0.25">
      <c r="L1392" s="103"/>
      <c r="V1392" s="86"/>
    </row>
    <row r="1393" spans="12:22" x14ac:dyDescent="0.25">
      <c r="L1393" s="103"/>
      <c r="V1393" s="86"/>
    </row>
    <row r="1394" spans="12:22" x14ac:dyDescent="0.25">
      <c r="L1394" s="103"/>
      <c r="V1394" s="86"/>
    </row>
    <row r="1395" spans="12:22" x14ac:dyDescent="0.25">
      <c r="L1395" s="103"/>
      <c r="V1395" s="86"/>
    </row>
    <row r="1396" spans="12:22" x14ac:dyDescent="0.25">
      <c r="L1396" s="103"/>
      <c r="V1396" s="86"/>
    </row>
    <row r="1397" spans="12:22" x14ac:dyDescent="0.25">
      <c r="L1397" s="103"/>
      <c r="V1397" s="86"/>
    </row>
    <row r="1398" spans="12:22" x14ac:dyDescent="0.25">
      <c r="L1398" s="103"/>
      <c r="V1398" s="86"/>
    </row>
    <row r="1399" spans="12:22" x14ac:dyDescent="0.25">
      <c r="L1399" s="103"/>
      <c r="V1399" s="86"/>
    </row>
    <row r="1400" spans="12:22" x14ac:dyDescent="0.25">
      <c r="L1400" s="103"/>
      <c r="V1400" s="86"/>
    </row>
    <row r="1401" spans="12:22" x14ac:dyDescent="0.25">
      <c r="L1401" s="103"/>
      <c r="V1401" s="86"/>
    </row>
    <row r="1402" spans="12:22" x14ac:dyDescent="0.25">
      <c r="L1402" s="103"/>
      <c r="V1402" s="86"/>
    </row>
    <row r="1403" spans="12:22" x14ac:dyDescent="0.25">
      <c r="L1403" s="103"/>
      <c r="V1403" s="86"/>
    </row>
    <row r="1404" spans="12:22" x14ac:dyDescent="0.25">
      <c r="L1404" s="103"/>
      <c r="V1404" s="86"/>
    </row>
    <row r="1405" spans="12:22" x14ac:dyDescent="0.25">
      <c r="L1405" s="103"/>
      <c r="V1405" s="86"/>
    </row>
    <row r="1406" spans="12:22" x14ac:dyDescent="0.25">
      <c r="L1406" s="103"/>
      <c r="V1406" s="86"/>
    </row>
    <row r="1407" spans="12:22" x14ac:dyDescent="0.25">
      <c r="L1407" s="103"/>
      <c r="V1407" s="86"/>
    </row>
    <row r="1408" spans="12:22" x14ac:dyDescent="0.25">
      <c r="L1408" s="103"/>
      <c r="V1408" s="86"/>
    </row>
    <row r="1409" spans="12:22" x14ac:dyDescent="0.25">
      <c r="L1409" s="103"/>
      <c r="V1409" s="86"/>
    </row>
    <row r="1410" spans="12:22" x14ac:dyDescent="0.25">
      <c r="L1410" s="103"/>
      <c r="V1410" s="86"/>
    </row>
    <row r="1411" spans="12:22" x14ac:dyDescent="0.25">
      <c r="L1411" s="103"/>
      <c r="V1411" s="86"/>
    </row>
    <row r="1412" spans="12:22" x14ac:dyDescent="0.25">
      <c r="L1412" s="103"/>
      <c r="V1412" s="86"/>
    </row>
    <row r="1413" spans="12:22" x14ac:dyDescent="0.25">
      <c r="L1413" s="103"/>
      <c r="V1413" s="86"/>
    </row>
    <row r="1414" spans="12:22" x14ac:dyDescent="0.25">
      <c r="L1414" s="103"/>
      <c r="V1414" s="86"/>
    </row>
    <row r="1415" spans="12:22" x14ac:dyDescent="0.25">
      <c r="L1415" s="103"/>
      <c r="V1415" s="86"/>
    </row>
    <row r="1416" spans="12:22" x14ac:dyDescent="0.25">
      <c r="L1416" s="103"/>
      <c r="V1416" s="86"/>
    </row>
    <row r="1417" spans="12:22" x14ac:dyDescent="0.25">
      <c r="L1417" s="103"/>
      <c r="V1417" s="86"/>
    </row>
    <row r="1418" spans="12:22" x14ac:dyDescent="0.25">
      <c r="L1418" s="103"/>
      <c r="V1418" s="86"/>
    </row>
    <row r="1419" spans="12:22" x14ac:dyDescent="0.25">
      <c r="L1419" s="103"/>
      <c r="V1419" s="86"/>
    </row>
    <row r="1420" spans="12:22" x14ac:dyDescent="0.25">
      <c r="L1420" s="103"/>
      <c r="V1420" s="86"/>
    </row>
    <row r="1421" spans="12:22" x14ac:dyDescent="0.25">
      <c r="L1421" s="103"/>
      <c r="V1421" s="86"/>
    </row>
    <row r="1422" spans="12:22" x14ac:dyDescent="0.25">
      <c r="L1422" s="103"/>
      <c r="V1422" s="86"/>
    </row>
    <row r="1423" spans="12:22" x14ac:dyDescent="0.25">
      <c r="L1423" s="103"/>
      <c r="V1423" s="86"/>
    </row>
    <row r="1424" spans="12:22" x14ac:dyDescent="0.25">
      <c r="L1424" s="103"/>
      <c r="V1424" s="86"/>
    </row>
    <row r="1425" spans="12:22" x14ac:dyDescent="0.25">
      <c r="L1425" s="103"/>
      <c r="V1425" s="86"/>
    </row>
    <row r="1426" spans="12:22" x14ac:dyDescent="0.25">
      <c r="L1426" s="103"/>
      <c r="V1426" s="86"/>
    </row>
    <row r="1427" spans="12:22" x14ac:dyDescent="0.25">
      <c r="L1427" s="103"/>
      <c r="V1427" s="86"/>
    </row>
    <row r="1428" spans="12:22" x14ac:dyDescent="0.25">
      <c r="L1428" s="103"/>
      <c r="V1428" s="86"/>
    </row>
    <row r="1429" spans="12:22" x14ac:dyDescent="0.25">
      <c r="L1429" s="103"/>
      <c r="V1429" s="86"/>
    </row>
    <row r="1430" spans="12:22" x14ac:dyDescent="0.25">
      <c r="L1430" s="103"/>
      <c r="V1430" s="86"/>
    </row>
    <row r="1431" spans="12:22" x14ac:dyDescent="0.25">
      <c r="L1431" s="103"/>
      <c r="V1431" s="86"/>
    </row>
    <row r="1432" spans="12:22" x14ac:dyDescent="0.25">
      <c r="L1432" s="103"/>
      <c r="V1432" s="86"/>
    </row>
    <row r="1433" spans="12:22" x14ac:dyDescent="0.25">
      <c r="L1433" s="103"/>
      <c r="V1433" s="86"/>
    </row>
    <row r="1434" spans="12:22" x14ac:dyDescent="0.25">
      <c r="L1434" s="103"/>
      <c r="V1434" s="86"/>
    </row>
    <row r="1435" spans="12:22" x14ac:dyDescent="0.25">
      <c r="L1435" s="103"/>
      <c r="V1435" s="86"/>
    </row>
    <row r="1436" spans="12:22" x14ac:dyDescent="0.25">
      <c r="L1436" s="103"/>
      <c r="V1436" s="86"/>
    </row>
    <row r="1437" spans="12:22" x14ac:dyDescent="0.25">
      <c r="L1437" s="103"/>
      <c r="V1437" s="86"/>
    </row>
    <row r="1438" spans="12:22" x14ac:dyDescent="0.25">
      <c r="L1438" s="103"/>
      <c r="V1438" s="86"/>
    </row>
    <row r="1439" spans="12:22" x14ac:dyDescent="0.25">
      <c r="L1439" s="103"/>
      <c r="V1439" s="86"/>
    </row>
    <row r="1440" spans="12:22" x14ac:dyDescent="0.25">
      <c r="L1440" s="103"/>
      <c r="V1440" s="86"/>
    </row>
    <row r="1441" spans="12:22" x14ac:dyDescent="0.25">
      <c r="L1441" s="103"/>
      <c r="V1441" s="86"/>
    </row>
    <row r="1442" spans="12:22" x14ac:dyDescent="0.25">
      <c r="L1442" s="103"/>
      <c r="V1442" s="86"/>
    </row>
    <row r="1443" spans="12:22" x14ac:dyDescent="0.25">
      <c r="L1443" s="103"/>
      <c r="V1443" s="86"/>
    </row>
    <row r="1444" spans="12:22" x14ac:dyDescent="0.25">
      <c r="L1444" s="103"/>
      <c r="V1444" s="86"/>
    </row>
    <row r="1445" spans="12:22" x14ac:dyDescent="0.25">
      <c r="L1445" s="103"/>
      <c r="V1445" s="86"/>
    </row>
    <row r="1446" spans="12:22" x14ac:dyDescent="0.25">
      <c r="L1446" s="103"/>
      <c r="V1446" s="86"/>
    </row>
    <row r="1447" spans="12:22" x14ac:dyDescent="0.25">
      <c r="L1447" s="103"/>
      <c r="V1447" s="86"/>
    </row>
    <row r="1448" spans="12:22" x14ac:dyDescent="0.25">
      <c r="L1448" s="103"/>
      <c r="V1448" s="86"/>
    </row>
    <row r="1449" spans="12:22" x14ac:dyDescent="0.25">
      <c r="L1449" s="103"/>
      <c r="V1449" s="86"/>
    </row>
    <row r="1450" spans="12:22" x14ac:dyDescent="0.25">
      <c r="L1450" s="103"/>
      <c r="V1450" s="86"/>
    </row>
    <row r="1451" spans="12:22" x14ac:dyDescent="0.25">
      <c r="L1451" s="103"/>
      <c r="V1451" s="86"/>
    </row>
    <row r="1452" spans="12:22" x14ac:dyDescent="0.25">
      <c r="L1452" s="103"/>
      <c r="V1452" s="86"/>
    </row>
    <row r="1453" spans="12:22" x14ac:dyDescent="0.25">
      <c r="L1453" s="103"/>
      <c r="V1453" s="86"/>
    </row>
    <row r="1454" spans="12:22" x14ac:dyDescent="0.25">
      <c r="L1454" s="103"/>
      <c r="V1454" s="86"/>
    </row>
    <row r="1455" spans="12:22" x14ac:dyDescent="0.25">
      <c r="L1455" s="103"/>
      <c r="V1455" s="86"/>
    </row>
    <row r="1456" spans="12:22" x14ac:dyDescent="0.25">
      <c r="L1456" s="103"/>
      <c r="V1456" s="86"/>
    </row>
    <row r="1457" spans="12:22" x14ac:dyDescent="0.25">
      <c r="L1457" s="103"/>
      <c r="V1457" s="86"/>
    </row>
    <row r="1458" spans="12:22" x14ac:dyDescent="0.25">
      <c r="L1458" s="103"/>
      <c r="V1458" s="86"/>
    </row>
    <row r="1459" spans="12:22" x14ac:dyDescent="0.25">
      <c r="L1459" s="103"/>
      <c r="V1459" s="86"/>
    </row>
    <row r="1460" spans="12:22" x14ac:dyDescent="0.25">
      <c r="L1460" s="103"/>
      <c r="V1460" s="86"/>
    </row>
    <row r="1461" spans="12:22" x14ac:dyDescent="0.25">
      <c r="L1461" s="103"/>
      <c r="V1461" s="86"/>
    </row>
    <row r="1462" spans="12:22" x14ac:dyDescent="0.25">
      <c r="L1462" s="103"/>
      <c r="V1462" s="86"/>
    </row>
    <row r="1463" spans="12:22" x14ac:dyDescent="0.25">
      <c r="L1463" s="103"/>
      <c r="V1463" s="86"/>
    </row>
    <row r="1464" spans="12:22" x14ac:dyDescent="0.25">
      <c r="L1464" s="103"/>
      <c r="V1464" s="86"/>
    </row>
    <row r="1465" spans="12:22" x14ac:dyDescent="0.25">
      <c r="L1465" s="103"/>
      <c r="V1465" s="86"/>
    </row>
    <row r="1466" spans="12:22" x14ac:dyDescent="0.25">
      <c r="L1466" s="103"/>
      <c r="V1466" s="86"/>
    </row>
    <row r="1467" spans="12:22" x14ac:dyDescent="0.25">
      <c r="L1467" s="103"/>
      <c r="V1467" s="86"/>
    </row>
    <row r="1468" spans="12:22" x14ac:dyDescent="0.25">
      <c r="L1468" s="103"/>
      <c r="V1468" s="86"/>
    </row>
    <row r="1469" spans="12:22" x14ac:dyDescent="0.25">
      <c r="L1469" s="103"/>
      <c r="V1469" s="86"/>
    </row>
    <row r="1470" spans="12:22" x14ac:dyDescent="0.25">
      <c r="L1470" s="103"/>
      <c r="V1470" s="86"/>
    </row>
    <row r="1471" spans="12:22" x14ac:dyDescent="0.25">
      <c r="L1471" s="103"/>
      <c r="V1471" s="86"/>
    </row>
    <row r="1472" spans="12:22" x14ac:dyDescent="0.25">
      <c r="L1472" s="103"/>
      <c r="V1472" s="86"/>
    </row>
    <row r="1473" spans="12:22" x14ac:dyDescent="0.25">
      <c r="L1473" s="103"/>
      <c r="V1473" s="86"/>
    </row>
    <row r="1474" spans="12:22" x14ac:dyDescent="0.25">
      <c r="L1474" s="103"/>
      <c r="V1474" s="86"/>
    </row>
    <row r="1475" spans="12:22" x14ac:dyDescent="0.25">
      <c r="L1475" s="103"/>
      <c r="V1475" s="86"/>
    </row>
    <row r="1476" spans="12:22" x14ac:dyDescent="0.25">
      <c r="L1476" s="103"/>
      <c r="V1476" s="86"/>
    </row>
    <row r="1477" spans="12:22" x14ac:dyDescent="0.25">
      <c r="L1477" s="103"/>
      <c r="V1477" s="86"/>
    </row>
    <row r="1478" spans="12:22" x14ac:dyDescent="0.25">
      <c r="L1478" s="103"/>
      <c r="V1478" s="86"/>
    </row>
    <row r="1479" spans="12:22" x14ac:dyDescent="0.25">
      <c r="L1479" s="103"/>
      <c r="V1479" s="86"/>
    </row>
    <row r="1480" spans="12:22" x14ac:dyDescent="0.25">
      <c r="L1480" s="103"/>
      <c r="V1480" s="86"/>
    </row>
    <row r="1481" spans="12:22" x14ac:dyDescent="0.25">
      <c r="L1481" s="103"/>
      <c r="V1481" s="86"/>
    </row>
    <row r="1482" spans="12:22" x14ac:dyDescent="0.25">
      <c r="L1482" s="103"/>
      <c r="V1482" s="86"/>
    </row>
    <row r="1483" spans="12:22" x14ac:dyDescent="0.25">
      <c r="L1483" s="103"/>
      <c r="V1483" s="86"/>
    </row>
    <row r="1484" spans="12:22" x14ac:dyDescent="0.25">
      <c r="L1484" s="103"/>
      <c r="V1484" s="86"/>
    </row>
    <row r="1485" spans="12:22" x14ac:dyDescent="0.25">
      <c r="L1485" s="103"/>
      <c r="V1485" s="86"/>
    </row>
    <row r="1486" spans="12:22" x14ac:dyDescent="0.25">
      <c r="L1486" s="103"/>
      <c r="V1486" s="86"/>
    </row>
    <row r="1487" spans="12:22" x14ac:dyDescent="0.25">
      <c r="L1487" s="103"/>
      <c r="V1487" s="86"/>
    </row>
    <row r="1488" spans="12:22" x14ac:dyDescent="0.25">
      <c r="L1488" s="103"/>
      <c r="V1488" s="86"/>
    </row>
    <row r="1489" spans="12:22" x14ac:dyDescent="0.25">
      <c r="L1489" s="103"/>
      <c r="V1489" s="86"/>
    </row>
    <row r="1490" spans="12:22" x14ac:dyDescent="0.25">
      <c r="L1490" s="103"/>
      <c r="V1490" s="86"/>
    </row>
    <row r="1491" spans="12:22" x14ac:dyDescent="0.25">
      <c r="L1491" s="103"/>
      <c r="V1491" s="86"/>
    </row>
    <row r="1492" spans="12:22" x14ac:dyDescent="0.25">
      <c r="L1492" s="103"/>
      <c r="V1492" s="86"/>
    </row>
    <row r="1493" spans="12:22" x14ac:dyDescent="0.25">
      <c r="L1493" s="103"/>
      <c r="V1493" s="86"/>
    </row>
    <row r="1494" spans="12:22" x14ac:dyDescent="0.25">
      <c r="L1494" s="103"/>
      <c r="V1494" s="86"/>
    </row>
    <row r="1495" spans="12:22" x14ac:dyDescent="0.25">
      <c r="L1495" s="103"/>
      <c r="V1495" s="86"/>
    </row>
    <row r="1496" spans="12:22" x14ac:dyDescent="0.25">
      <c r="L1496" s="103"/>
      <c r="V1496" s="86"/>
    </row>
    <row r="1497" spans="12:22" x14ac:dyDescent="0.25">
      <c r="L1497" s="103"/>
      <c r="V1497" s="86"/>
    </row>
    <row r="1498" spans="12:22" x14ac:dyDescent="0.25">
      <c r="L1498" s="103"/>
      <c r="V1498" s="86"/>
    </row>
    <row r="1499" spans="12:22" x14ac:dyDescent="0.25">
      <c r="L1499" s="103"/>
      <c r="V1499" s="86"/>
    </row>
    <row r="1500" spans="12:22" x14ac:dyDescent="0.25">
      <c r="L1500" s="103"/>
      <c r="V1500" s="86"/>
    </row>
    <row r="1501" spans="12:22" x14ac:dyDescent="0.25">
      <c r="L1501" s="103"/>
      <c r="V1501" s="86"/>
    </row>
    <row r="1502" spans="12:22" x14ac:dyDescent="0.25">
      <c r="L1502" s="103"/>
      <c r="V1502" s="86"/>
    </row>
    <row r="1503" spans="12:22" x14ac:dyDescent="0.25">
      <c r="L1503" s="103"/>
      <c r="V1503" s="86"/>
    </row>
    <row r="1504" spans="12:22" x14ac:dyDescent="0.25">
      <c r="L1504" s="103"/>
      <c r="V1504" s="86"/>
    </row>
    <row r="1505" spans="12:22" x14ac:dyDescent="0.25">
      <c r="L1505" s="103"/>
      <c r="V1505" s="86"/>
    </row>
    <row r="1506" spans="12:22" x14ac:dyDescent="0.25">
      <c r="L1506" s="103"/>
      <c r="V1506" s="86"/>
    </row>
    <row r="1507" spans="12:22" x14ac:dyDescent="0.25">
      <c r="L1507" s="103"/>
      <c r="V1507" s="86"/>
    </row>
    <row r="1508" spans="12:22" x14ac:dyDescent="0.25">
      <c r="L1508" s="103"/>
      <c r="V1508" s="86"/>
    </row>
    <row r="1509" spans="12:22" x14ac:dyDescent="0.25">
      <c r="L1509" s="103"/>
      <c r="V1509" s="86"/>
    </row>
    <row r="1510" spans="12:22" x14ac:dyDescent="0.25">
      <c r="L1510" s="103"/>
      <c r="V1510" s="86"/>
    </row>
    <row r="1511" spans="12:22" x14ac:dyDescent="0.25">
      <c r="L1511" s="103"/>
      <c r="V1511" s="86"/>
    </row>
    <row r="1512" spans="12:22" x14ac:dyDescent="0.25">
      <c r="L1512" s="103"/>
      <c r="V1512" s="86"/>
    </row>
    <row r="1513" spans="12:22" x14ac:dyDescent="0.25">
      <c r="L1513" s="103"/>
      <c r="V1513" s="86"/>
    </row>
    <row r="1514" spans="12:22" x14ac:dyDescent="0.25">
      <c r="L1514" s="103"/>
      <c r="V1514" s="86"/>
    </row>
    <row r="1515" spans="12:22" x14ac:dyDescent="0.25">
      <c r="L1515" s="103"/>
      <c r="V1515" s="86"/>
    </row>
    <row r="1516" spans="12:22" x14ac:dyDescent="0.25">
      <c r="L1516" s="103"/>
      <c r="V1516" s="86"/>
    </row>
    <row r="1517" spans="12:22" x14ac:dyDescent="0.25">
      <c r="L1517" s="103"/>
      <c r="V1517" s="86"/>
    </row>
    <row r="1518" spans="12:22" x14ac:dyDescent="0.25">
      <c r="L1518" s="103"/>
      <c r="V1518" s="86"/>
    </row>
    <row r="1519" spans="12:22" x14ac:dyDescent="0.25">
      <c r="L1519" s="103"/>
      <c r="V1519" s="86"/>
    </row>
    <row r="1520" spans="12:22" x14ac:dyDescent="0.25">
      <c r="L1520" s="103"/>
      <c r="V1520" s="86"/>
    </row>
    <row r="1521" spans="12:22" x14ac:dyDescent="0.25">
      <c r="L1521" s="103"/>
      <c r="V1521" s="86"/>
    </row>
    <row r="1522" spans="12:22" ht="15.75" thickBot="1" x14ac:dyDescent="0.3">
      <c r="L1522" s="104"/>
      <c r="M1522" s="105"/>
      <c r="N1522" s="105"/>
      <c r="O1522" s="105"/>
      <c r="P1522" s="105"/>
      <c r="Q1522" s="106"/>
      <c r="R1522" s="106"/>
      <c r="S1522" s="105"/>
      <c r="T1522" s="105"/>
      <c r="U1522" s="105"/>
      <c r="V1522" s="107"/>
    </row>
    <row r="1523" spans="12:22" ht="15.75" thickTop="1" x14ac:dyDescent="0.25"/>
  </sheetData>
  <autoFilter ref="A1:A20" xr:uid="{00000000-0001-0000-0300-000000000000}"/>
  <sortState xmlns:xlrd2="http://schemas.microsoft.com/office/spreadsheetml/2017/richdata2" ref="A2:U1523">
    <sortCondition descending="1" ref="B2:B10000"/>
  </sortState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00E3E-FA81-4014-AA2A-80895C3AA61B}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H19"/>
  <sheetViews>
    <sheetView workbookViewId="0">
      <selection activeCell="A26" sqref="A26"/>
    </sheetView>
  </sheetViews>
  <sheetFormatPr baseColWidth="10" defaultColWidth="9.140625" defaultRowHeight="15" x14ac:dyDescent="0.25"/>
  <cols>
    <col min="1" max="8" width="18" customWidth="1"/>
  </cols>
  <sheetData>
    <row r="1" spans="1:8" ht="18" customHeight="1" x14ac:dyDescent="0.35">
      <c r="A1" s="115" t="s">
        <v>193</v>
      </c>
      <c r="B1" s="116"/>
      <c r="C1" s="116"/>
      <c r="D1" s="116"/>
      <c r="E1" s="116"/>
      <c r="F1" s="116"/>
      <c r="G1" s="116"/>
      <c r="H1" s="116"/>
    </row>
    <row r="2" spans="1:8" ht="18" customHeight="1" x14ac:dyDescent="0.25">
      <c r="G2" s="3" t="s">
        <v>194</v>
      </c>
      <c r="H2" s="15"/>
    </row>
    <row r="3" spans="1:8" ht="18" customHeight="1" x14ac:dyDescent="0.25">
      <c r="A3" s="6" t="s">
        <v>195</v>
      </c>
      <c r="B3" s="16">
        <f>SUM(REGISTRO!H:H)</f>
        <v>240000</v>
      </c>
    </row>
    <row r="4" spans="1:8" ht="18" customHeight="1" x14ac:dyDescent="0.25">
      <c r="A4" s="6" t="s">
        <v>196</v>
      </c>
      <c r="B4" s="7">
        <f>SUM(REGISTRO!F:F)</f>
        <v>310</v>
      </c>
      <c r="G4" s="11" t="s">
        <v>197</v>
      </c>
    </row>
    <row r="5" spans="1:8" ht="18" customHeight="1" x14ac:dyDescent="0.25">
      <c r="A5" s="6" t="s">
        <v>198</v>
      </c>
      <c r="B5" s="8">
        <f>COUNTA(REGISTRO!A:A)-1</f>
        <v>3</v>
      </c>
    </row>
    <row r="6" spans="1:8" ht="18" customHeight="1" x14ac:dyDescent="0.25"/>
    <row r="7" spans="1:8" ht="18" customHeight="1" x14ac:dyDescent="0.25"/>
    <row r="8" spans="1:8" ht="18" customHeight="1" x14ac:dyDescent="0.25">
      <c r="A8" s="1" t="s">
        <v>199</v>
      </c>
      <c r="D8" s="1" t="s">
        <v>200</v>
      </c>
    </row>
    <row r="9" spans="1:8" ht="18" customHeight="1" x14ac:dyDescent="0.25">
      <c r="A9" s="1" t="s">
        <v>3</v>
      </c>
      <c r="B9" s="1" t="s">
        <v>195</v>
      </c>
      <c r="D9" s="1" t="s">
        <v>9</v>
      </c>
      <c r="E9" s="1" t="s">
        <v>196</v>
      </c>
    </row>
    <row r="10" spans="1:8" ht="18" customHeight="1" x14ac:dyDescent="0.25">
      <c r="A10" s="2" t="str">
        <f>IFERROR(INDEX(RECICLADORES!$B:$B,ROW(A10)-8),"")</f>
        <v>ALEJO PÉREZ PÉREZ</v>
      </c>
      <c r="B10" s="17">
        <f>IF(A10="","",SUMIF(REGISTRO!C:C,A10,REGISTRO!H:H))</f>
        <v>0</v>
      </c>
      <c r="D10" s="2" t="str">
        <f>IFERROR(INDEX(MATERIALES!$C:$C,ROW(A10)-8),"")</f>
        <v>ALUMINIO LATA</v>
      </c>
      <c r="E10" s="9">
        <f>IF(D10="","",SUMIF(REGISTRO!E:E,D10,REGISTRO!F:F))</f>
        <v>10</v>
      </c>
    </row>
    <row r="11" spans="1:8" ht="18" customHeight="1" x14ac:dyDescent="0.25">
      <c r="A11" s="2" t="str">
        <f>IFERROR(INDEX(RECICLADORES!$B:$B,ROW(A11)-8),"")</f>
        <v>ALFONSO PABÓN GUERRERO</v>
      </c>
      <c r="B11" s="17">
        <f>IF(A11="","",SUMIF(REGISTRO!C:C,A11,REGISTRO!H:H))</f>
        <v>0</v>
      </c>
      <c r="D11" s="2" t="str">
        <f>IFERROR(INDEX(MATERIALES!$C:$C,ROW(A11)-8),"")</f>
        <v>ALUMINIO GRUESO</v>
      </c>
      <c r="E11" s="9">
        <f>IF(D11="","",SUMIF(REGISTRO!E:E,D11,REGISTRO!F:F))</f>
        <v>0</v>
      </c>
    </row>
    <row r="12" spans="1:8" ht="18" customHeight="1" x14ac:dyDescent="0.25">
      <c r="A12" s="2" t="str">
        <f>IFERROR(INDEX(RECICLADORES!$B:$B,ROW(A12)-8),"")</f>
        <v>ALIRIO ALBERTO PABÓN</v>
      </c>
      <c r="B12" s="17">
        <f>IF(A12="","",SUMIF(REGISTRO!C:C,A12,REGISTRO!H:H))</f>
        <v>240000</v>
      </c>
      <c r="D12" s="2" t="str">
        <f>IFERROR(INDEX(MATERIALES!$C:$C,ROW(A12)-8),"")</f>
        <v>ALUMINIO BLANDO</v>
      </c>
      <c r="E12" s="9">
        <f>IF(D12="","",SUMIF(REGISTRO!E:E,D12,REGISTRO!F:F))</f>
        <v>0</v>
      </c>
    </row>
    <row r="13" spans="1:8" ht="18" customHeight="1" x14ac:dyDescent="0.25">
      <c r="A13" s="2" t="str">
        <f>IFERROR(INDEX(RECICLADORES!$B:$B,ROW(A13)-8),"")</f>
        <v>ALVARO DE JESUS PICON MANTILLA</v>
      </c>
      <c r="B13" s="17">
        <f>IF(A13="","",SUMIF(REGISTRO!C:C,A13,REGISTRO!H:H))</f>
        <v>0</v>
      </c>
      <c r="D13" s="2" t="str">
        <f>IFERROR(INDEX(MATERIALES!$C:$C,ROW(A13)-8),"")</f>
        <v>ALUMINIO PERFIL</v>
      </c>
      <c r="E13" s="9">
        <f>IF(D13="","",SUMIF(REGISTRO!E:E,D13,REGISTRO!F:F))</f>
        <v>0</v>
      </c>
    </row>
    <row r="14" spans="1:8" ht="18" customHeight="1" x14ac:dyDescent="0.25">
      <c r="A14" s="2" t="str">
        <f>IFERROR(INDEX(RECICLADORES!$B:$B,ROW(A14)-8),"")</f>
        <v>ANTONIA QUINTERO CALDERÓN</v>
      </c>
      <c r="B14" s="17">
        <f>IF(A14="","",SUMIF(REGISTRO!C:C,A14,REGISTRO!H:H))</f>
        <v>0</v>
      </c>
      <c r="D14" s="2" t="str">
        <f>IFERROR(INDEX(MATERIALES!$C:$C,ROW(A14)-8),"")</f>
        <v>ALUMINIO BANDA</v>
      </c>
      <c r="E14" s="9">
        <f>IF(D14="","",SUMIF(REGISTRO!E:E,D14,REGISTRO!F:F))</f>
        <v>0</v>
      </c>
    </row>
    <row r="15" spans="1:8" ht="18" customHeight="1" x14ac:dyDescent="0.25">
      <c r="A15" s="2" t="str">
        <f>IFERROR(INDEX(RECICLADORES!$B:$B,ROW(A15)-8),"")</f>
        <v>ARNOLDO CELESTINO HERRERA SÁNCHEZ</v>
      </c>
      <c r="B15" s="17">
        <f>IF(A15="","",SUMIF(REGISTRO!C:C,A15,REGISTRO!H:H))</f>
        <v>0</v>
      </c>
      <c r="D15" s="2" t="str">
        <f>IFERROR(INDEX(MATERIALES!$C:$C,ROW(A15)-8),"")</f>
        <v>ALUMINIO GUAYA</v>
      </c>
      <c r="E15" s="9">
        <f>IF(D15="","",SUMIF(REGISTRO!E:E,D15,REGISTRO!F:F))</f>
        <v>0</v>
      </c>
    </row>
    <row r="16" spans="1:8" ht="18" customHeight="1" x14ac:dyDescent="0.25">
      <c r="A16" s="2" t="str">
        <f>IFERROR(INDEX(RECICLADORES!$B:$B,ROW(A16)-8),"")</f>
        <v>BERTHA YADIRA COLMENARES ARROLLO</v>
      </c>
      <c r="B16" s="17">
        <f>IF(A16="","",SUMIF(REGISTRO!C:C,A16,REGISTRO!H:H))</f>
        <v>0</v>
      </c>
      <c r="D16" s="2" t="str">
        <f>IFERROR(INDEX(MATERIALES!$C:$C,ROW(A16)-8),"")</f>
        <v>ALUMINIO RINES</v>
      </c>
      <c r="E16" s="9">
        <f>IF(D16="","",SUMIF(REGISTRO!E:E,D16,REGISTRO!F:F))</f>
        <v>0</v>
      </c>
    </row>
    <row r="17" spans="1:5" ht="18" customHeight="1" x14ac:dyDescent="0.25">
      <c r="A17" s="2" t="str">
        <f>IFERROR(INDEX(RECICLADORES!$B:$B,ROW(A17)-8),"")</f>
        <v>BRITHEY ESMERALDA GUTIERREZ VERA</v>
      </c>
      <c r="B17" s="17">
        <f>IF(A17="","",SUMIF(REGISTRO!C:C,A17,REGISTRO!H:H))</f>
        <v>0</v>
      </c>
      <c r="D17" s="2" t="str">
        <f>IFERROR(INDEX(MATERIALES!$C:$C,ROW(A17)-8),"")</f>
        <v>CHATARRA GRIS</v>
      </c>
      <c r="E17" s="9">
        <f>IF(D17="","",SUMIF(REGISTRO!E:E,D17,REGISTRO!F:F))</f>
        <v>0</v>
      </c>
    </row>
    <row r="18" spans="1:5" ht="18" customHeight="1" x14ac:dyDescent="0.25">
      <c r="A18" s="2" t="str">
        <f>IFERROR(INDEX(RECICLADORES!$B:$B,ROW(A18)-8),"")</f>
        <v>CARLOS ARTURO MEJÍA ROJAS</v>
      </c>
      <c r="B18" s="17">
        <f>IF(A18="","",SUMIF(REGISTRO!C:C,A18,REGISTRO!H:H))</f>
        <v>0</v>
      </c>
      <c r="D18" s="2" t="str">
        <f>IFERROR(INDEX(MATERIALES!$C:$C,ROW(A18)-8),"")</f>
        <v>CHATARRA</v>
      </c>
      <c r="E18" s="9">
        <f>IF(D18="","",SUMIF(REGISTRO!E:E,D18,REGISTRO!F:F))</f>
        <v>0</v>
      </c>
    </row>
    <row r="19" spans="1:5" ht="18" customHeight="1" x14ac:dyDescent="0.25">
      <c r="A19" s="2" t="str">
        <f>IFERROR(INDEX(RECICLADORES!$B:$B,ROW(A19)-8),"")</f>
        <v>CARLOS VICENTE MARTÍNEZ</v>
      </c>
      <c r="B19" s="17">
        <f>IF(A19="","",SUMIF(REGISTRO!C:C,A19,REGISTRO!H:H))</f>
        <v>0</v>
      </c>
      <c r="D19" s="2" t="str">
        <f>IFERROR(INDEX(MATERIALES!$C:$C,ROW(A19)-8),"")</f>
        <v>COBRE #1</v>
      </c>
      <c r="E19" s="9">
        <f>IF(D19="","",SUMIF(REGISTRO!E:E,D19,REGISTRO!F:F))</f>
        <v>0</v>
      </c>
    </row>
  </sheetData>
  <mergeCells count="1">
    <mergeCell ref="A1:H1"/>
  </mergeCells>
  <pageMargins left="0.75" right="0.75" top="1" bottom="1" header="0.5" footer="0.5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7"/>
  <sheetViews>
    <sheetView workbookViewId="0">
      <selection activeCell="C29" sqref="C29"/>
    </sheetView>
  </sheetViews>
  <sheetFormatPr baseColWidth="10" defaultColWidth="9.140625" defaultRowHeight="15" x14ac:dyDescent="0.25"/>
  <cols>
    <col min="1" max="1" width="110" customWidth="1"/>
  </cols>
  <sheetData>
    <row r="1" spans="1:1" ht="18" customHeight="1" x14ac:dyDescent="0.25">
      <c r="A1" s="10"/>
    </row>
    <row r="2" spans="1:1" ht="18" customHeight="1" x14ac:dyDescent="0.25"/>
    <row r="3" spans="1:1" ht="18" customHeight="1" x14ac:dyDescent="0.25">
      <c r="A3" s="4"/>
    </row>
    <row r="4" spans="1:1" ht="18" customHeight="1" x14ac:dyDescent="0.25">
      <c r="A4" s="4"/>
    </row>
    <row r="5" spans="1:1" ht="18" customHeight="1" x14ac:dyDescent="0.25">
      <c r="A5" s="4"/>
    </row>
    <row r="6" spans="1:1" ht="18" customHeight="1" x14ac:dyDescent="0.25">
      <c r="A6" s="4"/>
    </row>
    <row r="7" spans="1:1" ht="18" customHeight="1" x14ac:dyDescent="0.25">
      <c r="A7" s="4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3"/>
  <sheetViews>
    <sheetView topLeftCell="A4" workbookViewId="0">
      <selection activeCell="A26" sqref="A26"/>
    </sheetView>
  </sheetViews>
  <sheetFormatPr baseColWidth="10" defaultColWidth="9.140625" defaultRowHeight="15" x14ac:dyDescent="0.25"/>
  <cols>
    <col min="1" max="1" width="120" customWidth="1"/>
  </cols>
  <sheetData>
    <row r="1" spans="1:1" ht="18.75" customHeight="1" x14ac:dyDescent="0.3">
      <c r="A1" s="18" t="s">
        <v>201</v>
      </c>
    </row>
    <row r="3" spans="1:1" ht="409.6" customHeight="1" x14ac:dyDescent="0.25">
      <c r="A3" s="12" t="s">
        <v>202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</vt:i4>
      </vt:variant>
    </vt:vector>
  </HeadingPairs>
  <TitlesOfParts>
    <vt:vector size="10" baseType="lpstr">
      <vt:lpstr>RECIBO</vt:lpstr>
      <vt:lpstr>RECICLADORES</vt:lpstr>
      <vt:lpstr>MATERIALES</vt:lpstr>
      <vt:lpstr>REGISTRO</vt:lpstr>
      <vt:lpstr>Hoja1</vt:lpstr>
      <vt:lpstr>DASHBOARD</vt:lpstr>
      <vt:lpstr>USO</vt:lpstr>
      <vt:lpstr>CODIGO_BOTONES</vt:lpstr>
      <vt:lpstr>RECIBO!Área_de_impresión</vt:lpstr>
      <vt:lpstr>ListaMateriales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MARVIN EDUARDO SANTOS PEREZ</cp:lastModifiedBy>
  <cp:lastPrinted>2026-05-06T05:50:56Z</cp:lastPrinted>
  <dcterms:created xsi:type="dcterms:W3CDTF">2026-05-01T03:21:06Z</dcterms:created>
  <dcterms:modified xsi:type="dcterms:W3CDTF">2026-05-07T00:49:25Z</dcterms:modified>
</cp:coreProperties>
</file>